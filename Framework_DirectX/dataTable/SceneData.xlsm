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recruit\portfolio_main\Framework_DirectX\dataTable\"/>
    </mc:Choice>
  </mc:AlternateContent>
  <xr:revisionPtr revIDLastSave="0" documentId="13_ncr:1_{1462742C-E901-4E24-AEFE-04273B0FC869}" xr6:coauthVersionLast="47" xr6:coauthVersionMax="47" xr10:uidLastSave="{00000000-0000-0000-0000-000000000000}"/>
  <bookViews>
    <workbookView xWindow="228" yWindow="348" windowWidth="11556" windowHeight="11796" firstSheet="3" activeTab="3" xr2:uid="{BBCD26FD-4625-445F-8BC1-F9B7DDE6F982}"/>
  </bookViews>
  <sheets>
    <sheet name="使い方" sheetId="4" r:id="rId1"/>
    <sheet name="MathHelper" sheetId="12" r:id="rId2"/>
    <sheet name="GroundData" sheetId="9" r:id="rId3"/>
    <sheet name="GameScene3" sheetId="17" r:id="rId4"/>
    <sheet name="GameScene" sheetId="15" r:id="rId5"/>
    <sheet name="GameScene2" sheetId="16" r:id="rId6"/>
    <sheet name="ExportLog" sheetId="21" r:id="rId7"/>
  </sheets>
  <functionGroups builtInGroupCount="19"/>
  <externalReferences>
    <externalReference r:id="rId8"/>
  </externalReferences>
  <definedNames>
    <definedName name="_xleta.PI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8" i="17" l="1"/>
  <c r="M4" i="17" l="1"/>
  <c r="M12" i="17"/>
  <c r="J4" i="17"/>
  <c r="J6" i="17" s="1"/>
  <c r="J7" i="17"/>
  <c r="J10" i="17" s="1"/>
  <c r="J25" i="17"/>
  <c r="J21" i="17"/>
  <c r="J15" i="17"/>
  <c r="J14" i="17"/>
  <c r="O20" i="17"/>
  <c r="O24" i="17"/>
  <c r="O22" i="17" l="1"/>
  <c r="O25" i="17" s="1"/>
  <c r="O19" i="17"/>
  <c r="O18" i="17"/>
  <c r="G24" i="17"/>
  <c r="G23" i="17"/>
  <c r="G22" i="17"/>
  <c r="G20" i="17"/>
  <c r="G18" i="17"/>
  <c r="O7" i="17"/>
  <c r="L6" i="17"/>
  <c r="K6" i="17"/>
  <c r="N4" i="17"/>
  <c r="G8" i="17"/>
  <c r="G10" i="17" s="1"/>
  <c r="H23" i="17"/>
  <c r="H22" i="17"/>
  <c r="H18" i="17"/>
  <c r="H24" i="17"/>
  <c r="H20" i="17"/>
  <c r="I5" i="17"/>
  <c r="H19" i="17"/>
  <c r="I3" i="17"/>
  <c r="M3" i="17"/>
  <c r="N3" i="17"/>
  <c r="I4" i="17"/>
  <c r="I25" i="17"/>
  <c r="K25" i="17"/>
  <c r="L25" i="17"/>
  <c r="M25" i="17"/>
  <c r="N25" i="17"/>
  <c r="P25" i="17"/>
  <c r="Q25" i="17"/>
  <c r="R25" i="17"/>
  <c r="D25" i="17"/>
  <c r="E25" i="17"/>
  <c r="F25" i="17"/>
  <c r="I21" i="17"/>
  <c r="K21" i="17"/>
  <c r="L21" i="17"/>
  <c r="M21" i="17"/>
  <c r="N21" i="17"/>
  <c r="P21" i="17"/>
  <c r="Q21" i="17"/>
  <c r="R21" i="17"/>
  <c r="C21" i="17"/>
  <c r="D21" i="17"/>
  <c r="E21" i="17"/>
  <c r="F21" i="17"/>
  <c r="C14" i="17"/>
  <c r="D14" i="17"/>
  <c r="E14" i="17"/>
  <c r="F14" i="17"/>
  <c r="G14" i="17"/>
  <c r="C6" i="17"/>
  <c r="D6" i="17"/>
  <c r="E6" i="17"/>
  <c r="F6" i="17"/>
  <c r="C10" i="17"/>
  <c r="D10" i="17"/>
  <c r="E10" i="17"/>
  <c r="F10" i="17"/>
  <c r="I15" i="17"/>
  <c r="E15" i="17"/>
  <c r="F15" i="17"/>
  <c r="G15" i="17"/>
  <c r="H15" i="17"/>
  <c r="K15" i="17"/>
  <c r="L15" i="17"/>
  <c r="M15" i="17"/>
  <c r="N15" i="17"/>
  <c r="C25" i="17"/>
  <c r="K14" i="17"/>
  <c r="I14" i="17"/>
  <c r="H14" i="17"/>
  <c r="N12" i="17"/>
  <c r="L12" i="17"/>
  <c r="L11" i="17"/>
  <c r="L10" i="17"/>
  <c r="I10" i="17"/>
  <c r="H10" i="17"/>
  <c r="N10" i="17"/>
  <c r="M8" i="17"/>
  <c r="M10" i="17" s="1"/>
  <c r="K7" i="17"/>
  <c r="K10" i="17" s="1"/>
  <c r="H6" i="17"/>
  <c r="G6" i="17"/>
  <c r="I3" i="15"/>
  <c r="M8" i="15"/>
  <c r="M10" i="15" s="1"/>
  <c r="L8" i="15"/>
  <c r="L10" i="15" s="1"/>
  <c r="J7" i="15"/>
  <c r="J10" i="15" s="1"/>
  <c r="K5" i="15"/>
  <c r="K6" i="15" s="1"/>
  <c r="J5" i="15"/>
  <c r="J6" i="15" s="1"/>
  <c r="I5" i="15"/>
  <c r="I4" i="15"/>
  <c r="M3" i="15"/>
  <c r="L3" i="15"/>
  <c r="I5" i="16"/>
  <c r="K5" i="16"/>
  <c r="K6" i="16" s="1"/>
  <c r="I3" i="16"/>
  <c r="J14" i="16"/>
  <c r="M12" i="16"/>
  <c r="K12" i="16"/>
  <c r="M11" i="16"/>
  <c r="L11" i="16"/>
  <c r="L14" i="16" s="1"/>
  <c r="K11" i="16"/>
  <c r="K10" i="16"/>
  <c r="M8" i="16"/>
  <c r="M10" i="16" s="1"/>
  <c r="L8" i="16"/>
  <c r="L10" i="16" s="1"/>
  <c r="J7" i="16"/>
  <c r="J10" i="16" s="1"/>
  <c r="J5" i="16"/>
  <c r="J6" i="16" s="1"/>
  <c r="M3" i="16"/>
  <c r="L3" i="16"/>
  <c r="K12" i="15"/>
  <c r="K11" i="15"/>
  <c r="M12" i="15"/>
  <c r="M11" i="15"/>
  <c r="M5" i="15" s="1"/>
  <c r="M6" i="15" s="1"/>
  <c r="L11" i="15"/>
  <c r="L5" i="15" s="1"/>
  <c r="I4" i="16"/>
  <c r="M28" i="16"/>
  <c r="L28" i="16"/>
  <c r="K28" i="16"/>
  <c r="I15" i="16"/>
  <c r="I14" i="16"/>
  <c r="H14" i="16"/>
  <c r="G14" i="16"/>
  <c r="C14" i="16"/>
  <c r="I10" i="16"/>
  <c r="H10" i="16"/>
  <c r="G10" i="16"/>
  <c r="C10" i="16"/>
  <c r="H6" i="16"/>
  <c r="G6" i="16"/>
  <c r="C6" i="16"/>
  <c r="I15" i="15"/>
  <c r="C6" i="15"/>
  <c r="G6" i="15"/>
  <c r="H6" i="15"/>
  <c r="C10" i="15"/>
  <c r="G10" i="15"/>
  <c r="H10" i="15"/>
  <c r="C14" i="15"/>
  <c r="G14" i="15"/>
  <c r="H14" i="15"/>
  <c r="M27" i="15"/>
  <c r="L27" i="15"/>
  <c r="K27" i="15"/>
  <c r="J14" i="15"/>
  <c r="I14" i="15"/>
  <c r="I10" i="15"/>
  <c r="K10" i="15"/>
  <c r="F18" i="4"/>
  <c r="F17" i="4"/>
  <c r="F10" i="4"/>
  <c r="F9" i="4"/>
  <c r="F8" i="4"/>
  <c r="O21" i="17" l="1"/>
  <c r="G25" i="17"/>
  <c r="H25" i="17"/>
  <c r="G21" i="17"/>
  <c r="H21" i="17"/>
  <c r="L6" i="15"/>
  <c r="L14" i="17"/>
  <c r="N14" i="17"/>
  <c r="M14" i="15"/>
  <c r="I6" i="15"/>
  <c r="L14" i="15"/>
  <c r="I6" i="17"/>
  <c r="M6" i="17"/>
  <c r="N6" i="17"/>
  <c r="M14" i="17"/>
  <c r="K14" i="16"/>
  <c r="M14" i="16"/>
  <c r="L5" i="16"/>
  <c r="L6" i="16" s="1"/>
  <c r="M5" i="16"/>
  <c r="M6" i="16" s="1"/>
  <c r="K14" i="15"/>
  <c r="I6" i="16"/>
</calcChain>
</file>

<file path=xl/sharedStrings.xml><?xml version="1.0" encoding="utf-8"?>
<sst xmlns="http://schemas.openxmlformats.org/spreadsheetml/2006/main" count="333" uniqueCount="158">
  <si>
    <t>float3 =&gt; 1.0 1.0 1.0 (空白区切り)</t>
    <rPh sb="23" eb="27">
      <t>クウハククギ</t>
    </rPh>
    <phoneticPr fontId="1"/>
  </si>
  <si>
    <t>bool =&gt; true/false</t>
    <phoneticPr fontId="1"/>
  </si>
  <si>
    <t>Player</t>
    <phoneticPr fontId="1"/>
  </si>
  <si>
    <t>name</t>
    <phoneticPr fontId="1"/>
  </si>
  <si>
    <t>入力方法</t>
    <rPh sb="0" eb="4">
      <t>ニュウリョクホウホウ</t>
    </rPh>
    <phoneticPr fontId="1"/>
  </si>
  <si>
    <t>・alt + F8で実行。VBAの編集はalt + F11
・保存先、ファイル名だけ指定。
保存時のファイル形式は無視されるので、なんでもよい。</t>
    <rPh sb="10" eb="12">
      <t>ジッコウ</t>
    </rPh>
    <rPh sb="17" eb="19">
      <t>ヘンシュウ</t>
    </rPh>
    <rPh sb="31" eb="34">
      <t>ホゾンサキ</t>
    </rPh>
    <rPh sb="39" eb="40">
      <t>メイ</t>
    </rPh>
    <rPh sb="42" eb="44">
      <t>シテイ</t>
    </rPh>
    <rPh sb="46" eb="48">
      <t>ホゾン</t>
    </rPh>
    <rPh sb="48" eb="49">
      <t>ジ</t>
    </rPh>
    <rPh sb="54" eb="56">
      <t>ケイシキ</t>
    </rPh>
    <rPh sb="57" eb="59">
      <t>ムシ</t>
    </rPh>
    <phoneticPr fontId="1"/>
  </si>
  <si>
    <t>variable type</t>
    <phoneticPr fontId="1"/>
  </si>
  <si>
    <t>float4</t>
    <phoneticPr fontId="1"/>
  </si>
  <si>
    <t>float3</t>
    <phoneticPr fontId="1"/>
  </si>
  <si>
    <t>float</t>
    <phoneticPr fontId="1"/>
  </si>
  <si>
    <t>racketHeight</t>
    <phoneticPr fontId="1"/>
  </si>
  <si>
    <t>float =&gt; 1.0 (末尾のfはいらない.小数点も省略可)</t>
    <rPh sb="14" eb="16">
      <t>マツビ</t>
    </rPh>
    <rPh sb="24" eb="27">
      <t>ショウスウテン</t>
    </rPh>
    <rPh sb="28" eb="31">
      <t>ショウリャクカ</t>
    </rPh>
    <phoneticPr fontId="1"/>
  </si>
  <si>
    <t>　式でやりたいとき右のようにする。(=100 &amp; " " &amp; C2+50 &amp; " " &amp; C2)</t>
    <rPh sb="1" eb="2">
      <t>シキ</t>
    </rPh>
    <rPh sb="9" eb="10">
      <t>ミギ</t>
    </rPh>
    <phoneticPr fontId="1"/>
  </si>
  <si>
    <t>racketRightPos</t>
    <phoneticPr fontId="1"/>
  </si>
  <si>
    <t>racketTopPos</t>
    <phoneticPr fontId="1"/>
  </si>
  <si>
    <t>racketLeftPos</t>
    <phoneticPr fontId="1"/>
  </si>
  <si>
    <t>moveSpeedX</t>
    <phoneticPr fontId="1"/>
  </si>
  <si>
    <t>moveSpeedY</t>
    <phoneticPr fontId="1"/>
  </si>
  <si>
    <t xml:space="preserve">float </t>
    <phoneticPr fontId="1"/>
  </si>
  <si>
    <t>jumpVelocity</t>
    <phoneticPr fontId="1"/>
  </si>
  <si>
    <t>aimSpeed</t>
    <phoneticPr fontId="1"/>
  </si>
  <si>
    <t>wallLeft</t>
    <phoneticPr fontId="1"/>
  </si>
  <si>
    <t>Stage</t>
    <phoneticPr fontId="1"/>
  </si>
  <si>
    <t>wallRight</t>
    <phoneticPr fontId="1"/>
  </si>
  <si>
    <t>wallFront</t>
    <phoneticPr fontId="1"/>
  </si>
  <si>
    <t>wallback</t>
    <phoneticPr fontId="1"/>
  </si>
  <si>
    <t>RoofHeight</t>
    <phoneticPr fontId="1"/>
  </si>
  <si>
    <t>aimLimitRight</t>
    <phoneticPr fontId="1"/>
  </si>
  <si>
    <t>aimLimitLeft</t>
    <phoneticPr fontId="1"/>
  </si>
  <si>
    <t>aimLimitTop</t>
    <phoneticPr fontId="1"/>
  </si>
  <si>
    <t>aimLimitDown</t>
    <phoneticPr fontId="1"/>
  </si>
  <si>
    <t>float(x)</t>
    <phoneticPr fontId="1"/>
  </si>
  <si>
    <t>float(z)</t>
    <phoneticPr fontId="1"/>
  </si>
  <si>
    <t>meshPath</t>
    <phoneticPr fontId="1"/>
  </si>
  <si>
    <t>string</t>
    <phoneticPr fontId="1"/>
  </si>
  <si>
    <t>res/Ski/Ch20_nonPBR.fbx</t>
    <phoneticPr fontId="1"/>
  </si>
  <si>
    <t>・一番左の列はメモ欄で読み込まれない。
・メモ欄のみは無視されるので、区切りとして使ってもよい。</t>
    <rPh sb="1" eb="4">
      <t>イチバンヒダリ</t>
    </rPh>
    <rPh sb="5" eb="6">
      <t>レツ</t>
    </rPh>
    <rPh sb="9" eb="10">
      <t>ラン</t>
    </rPh>
    <rPh sb="11" eb="12">
      <t>ヨ</t>
    </rPh>
    <rPh sb="13" eb="14">
      <t>コ</t>
    </rPh>
    <rPh sb="23" eb="24">
      <t>ラン</t>
    </rPh>
    <rPh sb="27" eb="29">
      <t>ムシ</t>
    </rPh>
    <rPh sb="35" eb="37">
      <t>クギ</t>
    </rPh>
    <rPh sb="41" eb="42">
      <t>ツカ</t>
    </rPh>
    <phoneticPr fontId="1"/>
  </si>
  <si>
    <t>RacketParam</t>
    <phoneticPr fontId="1"/>
  </si>
  <si>
    <t>MoveParam</t>
    <phoneticPr fontId="1"/>
  </si>
  <si>
    <t>AimParam</t>
    <phoneticPr fontId="1"/>
  </si>
  <si>
    <t>MeshData</t>
    <phoneticPr fontId="1"/>
  </si>
  <si>
    <t>　別シートのコピーはSheetName!A1 など</t>
    <rPh sb="1" eb="2">
      <t>ベツ</t>
    </rPh>
    <phoneticPr fontId="1"/>
  </si>
  <si>
    <t>0 0 0</t>
    <phoneticPr fontId="1"/>
  </si>
  <si>
    <t>PI</t>
    <phoneticPr fontId="1"/>
  </si>
  <si>
    <t>scale</t>
    <phoneticPr fontId="1"/>
  </si>
  <si>
    <t>日付</t>
  </si>
  <si>
    <t>シート名</t>
  </si>
  <si>
    <t>ファイル名</t>
  </si>
  <si>
    <t>GroundData</t>
  </si>
  <si>
    <t>GameScene</t>
  </si>
  <si>
    <t>color</t>
    <phoneticPr fontId="1"/>
  </si>
  <si>
    <t>position</t>
    <phoneticPr fontId="1"/>
  </si>
  <si>
    <t>actorA</t>
    <phoneticPr fontId="1"/>
  </si>
  <si>
    <t>actorB</t>
    <phoneticPr fontId="1"/>
  </si>
  <si>
    <t>1 1 1 1</t>
    <phoneticPr fontId="1"/>
  </si>
  <si>
    <t>0 10 0</t>
    <phoneticPr fontId="1"/>
  </si>
  <si>
    <t>1 1 1</t>
    <phoneticPr fontId="1"/>
  </si>
  <si>
    <t>roatation</t>
    <phoneticPr fontId="1"/>
  </si>
  <si>
    <t>GameScene</t>
    <phoneticPr fontId="1"/>
  </si>
  <si>
    <t>入力例:単体データ</t>
    <rPh sb="0" eb="3">
      <t>ニュウリョクレイ</t>
    </rPh>
    <rPh sb="4" eb="6">
      <t>タンタイ</t>
    </rPh>
    <phoneticPr fontId="1"/>
  </si>
  <si>
    <t>入力例:シーンデータ</t>
    <rPh sb="0" eb="3">
      <t>ニュウリョクレイ</t>
    </rPh>
    <phoneticPr fontId="1"/>
  </si>
  <si>
    <t>・最初のobjはシーン名だけを記述。
・移行objは右へ追加していく。</t>
    <rPh sb="1" eb="3">
      <t>サイショ</t>
    </rPh>
    <rPh sb="11" eb="12">
      <t>メイ</t>
    </rPh>
    <rPh sb="15" eb="17">
      <t>キジュツ</t>
    </rPh>
    <rPh sb="20" eb="22">
      <t>イコウ</t>
    </rPh>
    <rPh sb="26" eb="27">
      <t>ミギ</t>
    </rPh>
    <rPh sb="28" eb="30">
      <t>ツイカ</t>
    </rPh>
    <phoneticPr fontId="1"/>
  </si>
  <si>
    <t>START_ROT</t>
    <phoneticPr fontId="1"/>
  </si>
  <si>
    <t>START_POS</t>
    <phoneticPr fontId="1"/>
  </si>
  <si>
    <t>START_SCALE</t>
    <phoneticPr fontId="1"/>
  </si>
  <si>
    <t>D:\DirectX12\source\Direct3D_Guide\Direct3D_Guide\Framework_DirectX\dataTable\Scene01.json</t>
  </si>
  <si>
    <t>instanceNum</t>
    <phoneticPr fontId="1"/>
  </si>
  <si>
    <t>BlockWall</t>
    <phoneticPr fontId="1"/>
  </si>
  <si>
    <t>BlockWallArgs</t>
    <phoneticPr fontId="1"/>
  </si>
  <si>
    <t>row</t>
    <phoneticPr fontId="1"/>
  </si>
  <si>
    <t>coulum</t>
    <phoneticPr fontId="1"/>
  </si>
  <si>
    <t>wstring</t>
    <phoneticPr fontId="1"/>
  </si>
  <si>
    <t>float4 = {1,1,1,1}</t>
    <phoneticPr fontId="1"/>
  </si>
  <si>
    <t>float3 = {1,1,1}</t>
    <phoneticPr fontId="1"/>
  </si>
  <si>
    <t>float3={0,0,0}</t>
    <phoneticPr fontId="1"/>
  </si>
  <si>
    <t>ObjectBase</t>
    <phoneticPr fontId="1"/>
  </si>
  <si>
    <t>Ball</t>
    <phoneticPr fontId="1"/>
  </si>
  <si>
    <t>Floor</t>
    <phoneticPr fontId="1"/>
  </si>
  <si>
    <t>Texture</t>
    <phoneticPr fontId="1"/>
  </si>
  <si>
    <t>TEXT_PATH</t>
    <phoneticPr fontId="1"/>
  </si>
  <si>
    <t>multiColor</t>
    <phoneticPr fontId="1"/>
  </si>
  <si>
    <t>D:\DirectX12\source\Direct3D_Guide\Direct3D_Guide\Framework_DirectX\dataTable\Ground.json</t>
  </si>
  <si>
    <t>FrontWall</t>
    <phoneticPr fontId="1"/>
  </si>
  <si>
    <t>res/Floor/textures/Floor3.dds</t>
  </si>
  <si>
    <t>LeftWall</t>
    <phoneticPr fontId="1"/>
  </si>
  <si>
    <t>RightWall</t>
    <phoneticPr fontId="1"/>
  </si>
  <si>
    <t>posX</t>
    <phoneticPr fontId="1"/>
  </si>
  <si>
    <t>posY</t>
    <phoneticPr fontId="1"/>
  </si>
  <si>
    <t>posZ</t>
    <phoneticPr fontId="1"/>
  </si>
  <si>
    <t>GameScene_Test</t>
  </si>
  <si>
    <t>D:\JSON test\SceneTest.json</t>
  </si>
  <si>
    <t>rotX</t>
    <phoneticPr fontId="1"/>
  </si>
  <si>
    <t>rotY</t>
    <phoneticPr fontId="1"/>
  </si>
  <si>
    <t>rotZ</t>
    <phoneticPr fontId="1"/>
  </si>
  <si>
    <t>scaleX</t>
    <phoneticPr fontId="1"/>
  </si>
  <si>
    <t>scaleY</t>
    <phoneticPr fontId="1"/>
  </si>
  <si>
    <t>scaleZ</t>
    <phoneticPr fontId="1"/>
  </si>
  <si>
    <t>depth</t>
    <phoneticPr fontId="1"/>
  </si>
  <si>
    <t>int</t>
    <phoneticPr fontId="1"/>
  </si>
  <si>
    <t>int = 1(Max = 100)</t>
    <phoneticPr fontId="1"/>
  </si>
  <si>
    <t>tilingX</t>
    <phoneticPr fontId="1"/>
  </si>
  <si>
    <t>tilingY</t>
    <phoneticPr fontId="1"/>
  </si>
  <si>
    <t>textPath</t>
    <phoneticPr fontId="1"/>
  </si>
  <si>
    <t>rotation</t>
    <phoneticPr fontId="1"/>
  </si>
  <si>
    <t>GameScene2</t>
  </si>
  <si>
    <t>D:\DirectX12\source\Direct3D_Guide\Direct3D_Guide\Framework_DirectX\dataTable\Scene02.json</t>
  </si>
  <si>
    <t>GroundData</t>
    <phoneticPr fontId="1"/>
  </si>
  <si>
    <t>wallBack</t>
    <phoneticPr fontId="1"/>
  </si>
  <si>
    <t>roofHeight</t>
    <phoneticPr fontId="1"/>
  </si>
  <si>
    <t>Sound</t>
    <phoneticPr fontId="1"/>
  </si>
  <si>
    <t>BGM</t>
    <phoneticPr fontId="1"/>
  </si>
  <si>
    <t>Camera</t>
    <phoneticPr fontId="1"/>
  </si>
  <si>
    <t>CAMERA_RELATIVE_POS</t>
    <phoneticPr fontId="1"/>
  </si>
  <si>
    <t>0 200 450</t>
    <phoneticPr fontId="1"/>
  </si>
  <si>
    <t>sound/BGM/BGM_GamePlay.wav</t>
    <phoneticPr fontId="1"/>
  </si>
  <si>
    <t>left(-X)</t>
    <phoneticPr fontId="1"/>
  </si>
  <si>
    <t>down(-Y)</t>
    <phoneticPr fontId="1"/>
  </si>
  <si>
    <t>righ(+X)</t>
    <phoneticPr fontId="1"/>
  </si>
  <si>
    <t>top(+Y)</t>
    <phoneticPr fontId="1"/>
  </si>
  <si>
    <t>MIN_POS</t>
    <phoneticPr fontId="1"/>
  </si>
  <si>
    <t>MAX_POS</t>
    <phoneticPr fontId="1"/>
  </si>
  <si>
    <t>MovementLimit</t>
    <phoneticPr fontId="1"/>
  </si>
  <si>
    <t>TestScene</t>
    <phoneticPr fontId="1"/>
  </si>
  <si>
    <t>D:\DirectX12\source\Direct3D_Guide\Direct3D_Guide\Framework_DirectX\dataTable\TestScene.json</t>
    <phoneticPr fontId="1"/>
  </si>
  <si>
    <t>TILING_X</t>
    <phoneticPr fontId="1"/>
  </si>
  <si>
    <t>TILING_Y</t>
    <phoneticPr fontId="1"/>
  </si>
  <si>
    <t>FOLLOW_OFFSET</t>
    <phoneticPr fontId="1"/>
  </si>
  <si>
    <t>Transform</t>
    <phoneticPr fontId="1"/>
  </si>
  <si>
    <t>Physic</t>
    <phoneticPr fontId="1"/>
  </si>
  <si>
    <t>float(kg)</t>
    <phoneticPr fontId="1"/>
  </si>
  <si>
    <t>MASS</t>
    <phoneticPr fontId="1"/>
  </si>
  <si>
    <t>AIR_DRAG</t>
    <phoneticPr fontId="1"/>
  </si>
  <si>
    <t>FLOOR_FRICTION</t>
    <phoneticPr fontId="1"/>
  </si>
  <si>
    <t>float(0~1.0)</t>
    <phoneticPr fontId="1"/>
  </si>
  <si>
    <t>0 400 -950</t>
    <phoneticPr fontId="1"/>
  </si>
  <si>
    <t>Bat</t>
    <phoneticPr fontId="1"/>
  </si>
  <si>
    <t>back(-Z)</t>
    <phoneticPr fontId="1"/>
  </si>
  <si>
    <t>front(+Z)</t>
    <phoneticPr fontId="1"/>
  </si>
  <si>
    <t>res/Textures/Ball/Ball.dds</t>
    <phoneticPr fontId="1"/>
  </si>
  <si>
    <t>res/Textures/Floor/Floor.dds</t>
    <phoneticPr fontId="1"/>
  </si>
  <si>
    <t>res/Textures/Block/Block.dds</t>
    <phoneticPr fontId="1"/>
  </si>
  <si>
    <t>Roof</t>
    <phoneticPr fontId="1"/>
  </si>
  <si>
    <t>Spawner</t>
    <phoneticPr fontId="1"/>
  </si>
  <si>
    <t>uint</t>
    <phoneticPr fontId="1"/>
  </si>
  <si>
    <t>MAX_NUM</t>
    <phoneticPr fontId="1"/>
  </si>
  <si>
    <t>BatSpawner</t>
    <phoneticPr fontId="1"/>
  </si>
  <si>
    <t>ClearItemSpawner</t>
    <phoneticPr fontId="1"/>
  </si>
  <si>
    <t>Bat</t>
  </si>
  <si>
    <t>D:\DirectX12\source\Direct3D_Guide\Direct3D_Guide\Framework_DirectX\dataTable\Bat.json</t>
  </si>
  <si>
    <t>Player</t>
  </si>
  <si>
    <t>D:\DirectX12\source\Direct3D_Guide\Direct3D_Guide\Framework_DirectX\dataTable\player.json</t>
  </si>
  <si>
    <t>ClearItem</t>
  </si>
  <si>
    <t>D:\DirectX12\source\Direct3D_Guide\Direct3D_Guide\Framework_DirectX\dataTable\ClearItem.json</t>
  </si>
  <si>
    <t>VOL_BGM</t>
    <phoneticPr fontId="1"/>
  </si>
  <si>
    <t>ClearItem</t>
    <phoneticPr fontId="1"/>
  </si>
  <si>
    <t>res/sound/BGM/BGM_GamePlay2.wav</t>
    <phoneticPr fontId="1"/>
  </si>
  <si>
    <t>GameScene3</t>
    <phoneticPr fontId="1"/>
  </si>
  <si>
    <t>D:\recruit\portfolio_main\Framework_DirectX\dataTable\GameScene.json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</si>
</sst>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CC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2" xfId="0" applyFill="1" applyBorder="1" applyAlignment="1">
      <alignment vertical="center" wrapText="1"/>
    </xf>
    <xf numFmtId="0" fontId="0" fillId="0" borderId="1" xfId="0" applyBorder="1" applyAlignment="1">
      <alignment horizontal="right" vertical="top"/>
    </xf>
    <xf numFmtId="0" fontId="0" fillId="0" borderId="1" xfId="0" applyBorder="1" applyAlignment="1">
      <alignment horizontal="right" vertical="center"/>
    </xf>
    <xf numFmtId="3" fontId="0" fillId="0" borderId="1" xfId="0" applyNumberFormat="1" applyBorder="1" applyAlignment="1">
      <alignment horizontal="right" vertical="top"/>
    </xf>
    <xf numFmtId="14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0" fontId="0" fillId="2" borderId="0" xfId="0" applyFill="1" applyAlignment="1">
      <alignment horizontal="left" vertical="center"/>
    </xf>
    <xf numFmtId="0" fontId="2" fillId="7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top"/>
    </xf>
    <xf numFmtId="0" fontId="3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0" fillId="8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3" fillId="12" borderId="0" xfId="0" applyFont="1" applyFill="1" applyAlignment="1">
      <alignment horizontal="left" vertical="top"/>
    </xf>
    <xf numFmtId="0" fontId="3" fillId="1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9" borderId="0" xfId="0" applyFill="1" applyAlignment="1" applyProtection="1">
      <alignment horizontal="left" vertical="center"/>
      <protection locked="0"/>
    </xf>
    <xf numFmtId="0" fontId="0" fillId="5" borderId="0" xfId="0" applyFill="1" applyAlignment="1" applyProtection="1">
      <alignment horizontal="left" vertical="center"/>
      <protection locked="0"/>
    </xf>
    <xf numFmtId="0" fontId="0" fillId="8" borderId="0" xfId="0" applyFill="1" applyProtection="1">
      <alignment vertical="center"/>
      <protection locked="0"/>
    </xf>
    <xf numFmtId="0" fontId="0" fillId="4" borderId="0" xfId="0" applyFill="1" applyProtection="1">
      <alignment vertical="center"/>
      <protection locked="0"/>
    </xf>
    <xf numFmtId="0" fontId="0" fillId="11" borderId="0" xfId="0" applyFill="1" applyAlignment="1" applyProtection="1">
      <alignment horizontal="left" vertical="center"/>
      <protection locked="0"/>
    </xf>
    <xf numFmtId="0" fontId="0" fillId="10" borderId="0" xfId="0" applyFill="1" applyAlignment="1" applyProtection="1">
      <alignment horizontal="left"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4" borderId="0" xfId="0" applyFill="1" applyAlignment="1" applyProtection="1">
      <alignment horizontal="left" vertical="center"/>
      <protection locked="0"/>
    </xf>
    <xf numFmtId="0" fontId="0" fillId="13" borderId="0" xfId="0" applyFill="1" applyProtection="1">
      <alignment vertical="center"/>
      <protection locked="0"/>
    </xf>
    <xf numFmtId="0" fontId="0" fillId="11" borderId="0" xfId="0" applyFill="1" applyProtection="1">
      <alignment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CC"/>
      <color rgb="FFFF9999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recruit\portfolio_main\Framework_DirectX\dataTable\ActorData.xlsm" TargetMode="External"/><Relationship Id="rId1" Type="http://schemas.openxmlformats.org/officeDocument/2006/relationships/externalLinkPath" Target="Acto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使い方"/>
      <sheetName val="Player"/>
      <sheetName val="PlayersObj"/>
      <sheetName val="PlayerHelper"/>
      <sheetName val="Ball"/>
      <sheetName val="Bat"/>
      <sheetName val="ClearItem"/>
      <sheetName val="ExportLog"/>
    </sheetNames>
    <sheetDataSet>
      <sheetData sheetId="0"/>
      <sheetData sheetId="1"/>
      <sheetData sheetId="2"/>
      <sheetData sheetId="3">
        <row r="4">
          <cell r="B4">
            <v>10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F6E53-8EC3-4683-9A24-CA7A6C526DF6}">
  <sheetPr codeName="Sheet4"/>
  <dimension ref="B1:L22"/>
  <sheetViews>
    <sheetView workbookViewId="0">
      <selection activeCell="J14" sqref="J14"/>
    </sheetView>
  </sheetViews>
  <sheetFormatPr defaultRowHeight="18" x14ac:dyDescent="0.45"/>
  <cols>
    <col min="2" max="2" width="59.19921875" customWidth="1"/>
    <col min="3" max="3" width="8.59765625" customWidth="1"/>
    <col min="4" max="4" width="16.19921875" customWidth="1"/>
    <col min="5" max="5" width="17" customWidth="1"/>
    <col min="6" max="6" width="16.3984375" customWidth="1"/>
    <col min="7" max="7" width="8.59765625" customWidth="1"/>
    <col min="8" max="8" width="11.69921875" customWidth="1"/>
    <col min="9" max="9" width="8.59765625" customWidth="1"/>
    <col min="10" max="10" width="11.69921875" customWidth="1"/>
    <col min="11" max="12" width="8.59765625" customWidth="1"/>
  </cols>
  <sheetData>
    <row r="1" spans="2:12" ht="18.600000000000001" thickBot="1" x14ac:dyDescent="0.5"/>
    <row r="2" spans="2:12" ht="51.6" customHeight="1" thickBot="1" x14ac:dyDescent="0.5">
      <c r="B2" s="3" t="s">
        <v>5</v>
      </c>
      <c r="D2" s="38" t="s">
        <v>36</v>
      </c>
      <c r="E2" s="39"/>
      <c r="F2" s="39"/>
      <c r="H2" s="38" t="s">
        <v>61</v>
      </c>
      <c r="I2" s="39"/>
      <c r="J2" s="39"/>
      <c r="K2" s="39"/>
      <c r="L2" s="39"/>
    </row>
    <row r="4" spans="2:12" x14ac:dyDescent="0.45">
      <c r="D4" s="37" t="s">
        <v>59</v>
      </c>
      <c r="E4" s="37"/>
      <c r="F4" s="37"/>
      <c r="H4" s="37" t="s">
        <v>60</v>
      </c>
      <c r="I4" s="37"/>
      <c r="J4" s="37"/>
      <c r="K4" s="37"/>
      <c r="L4" s="37"/>
    </row>
    <row r="5" spans="2:12" x14ac:dyDescent="0.45">
      <c r="B5" s="2" t="s">
        <v>4</v>
      </c>
      <c r="D5" s="4" t="s">
        <v>6</v>
      </c>
      <c r="E5" s="4" t="s">
        <v>3</v>
      </c>
      <c r="F5" s="4" t="s">
        <v>2</v>
      </c>
      <c r="H5" s="9" t="s">
        <v>6</v>
      </c>
      <c r="I5" s="9" t="s">
        <v>3</v>
      </c>
      <c r="J5" s="9" t="s">
        <v>58</v>
      </c>
      <c r="K5" s="9" t="s">
        <v>52</v>
      </c>
      <c r="L5" s="9" t="s">
        <v>53</v>
      </c>
    </row>
    <row r="6" spans="2:12" x14ac:dyDescent="0.45">
      <c r="B6" s="1" t="s">
        <v>11</v>
      </c>
      <c r="D6" s="5" t="s">
        <v>37</v>
      </c>
      <c r="E6" s="5"/>
      <c r="F6" s="5"/>
      <c r="H6" s="9" t="s">
        <v>7</v>
      </c>
      <c r="I6" s="10" t="s">
        <v>50</v>
      </c>
      <c r="J6" s="9"/>
      <c r="K6" s="10" t="s">
        <v>54</v>
      </c>
      <c r="L6" s="9" t="s">
        <v>54</v>
      </c>
    </row>
    <row r="7" spans="2:12" x14ac:dyDescent="0.45">
      <c r="B7" s="1" t="s">
        <v>0</v>
      </c>
      <c r="D7" s="4" t="s">
        <v>9</v>
      </c>
      <c r="E7" s="4" t="s">
        <v>10</v>
      </c>
      <c r="F7" s="4">
        <v>75</v>
      </c>
      <c r="H7" s="9" t="s">
        <v>8</v>
      </c>
      <c r="I7" s="10" t="s">
        <v>51</v>
      </c>
      <c r="J7" s="9"/>
      <c r="K7" s="11" t="s">
        <v>42</v>
      </c>
      <c r="L7" s="9" t="s">
        <v>55</v>
      </c>
    </row>
    <row r="8" spans="2:12" x14ac:dyDescent="0.45">
      <c r="B8" s="1" t="s">
        <v>12</v>
      </c>
      <c r="D8" s="4" t="s">
        <v>8</v>
      </c>
      <c r="E8" s="4" t="s">
        <v>13</v>
      </c>
      <c r="F8" s="6" t="str">
        <f>([1]PlayerHelper!E6) &amp; " " &amp; F7+5 &amp; " " &amp; -25</f>
        <v xml:space="preserve"> 80 -25</v>
      </c>
      <c r="H8" s="9" t="s">
        <v>8</v>
      </c>
      <c r="I8" s="9" t="s">
        <v>57</v>
      </c>
      <c r="J8" s="9"/>
      <c r="K8" s="9" t="s">
        <v>42</v>
      </c>
      <c r="L8" s="9" t="s">
        <v>42</v>
      </c>
    </row>
    <row r="9" spans="2:12" x14ac:dyDescent="0.45">
      <c r="B9" s="1" t="s">
        <v>1</v>
      </c>
      <c r="D9" s="4" t="s">
        <v>8</v>
      </c>
      <c r="E9" s="4" t="s">
        <v>15</v>
      </c>
      <c r="F9" s="6" t="str">
        <f>([1]PlayerHelper!E6)*-1 &amp; " " &amp; F7+5 &amp; " " &amp; -25</f>
        <v>0 80 -25</v>
      </c>
      <c r="H9" s="9" t="s">
        <v>8</v>
      </c>
      <c r="I9" s="9" t="s">
        <v>44</v>
      </c>
      <c r="J9" s="9"/>
      <c r="K9" s="9" t="s">
        <v>56</v>
      </c>
      <c r="L9" s="9" t="s">
        <v>56</v>
      </c>
    </row>
    <row r="10" spans="2:12" x14ac:dyDescent="0.45">
      <c r="B10" s="1"/>
      <c r="D10" s="4" t="s">
        <v>8</v>
      </c>
      <c r="E10" s="4" t="s">
        <v>14</v>
      </c>
      <c r="F10" s="4" t="str">
        <f>0 &amp; " " &amp; F7+105 &amp; " " &amp; -25</f>
        <v>0 180 -25</v>
      </c>
    </row>
    <row r="11" spans="2:12" x14ac:dyDescent="0.45">
      <c r="B11" s="1" t="s">
        <v>41</v>
      </c>
      <c r="D11" s="5" t="s">
        <v>38</v>
      </c>
      <c r="E11" s="5"/>
      <c r="F11" s="5"/>
    </row>
    <row r="12" spans="2:12" x14ac:dyDescent="0.45">
      <c r="D12" s="4" t="s">
        <v>9</v>
      </c>
      <c r="E12" s="4" t="s">
        <v>16</v>
      </c>
      <c r="F12" s="4">
        <v>500</v>
      </c>
    </row>
    <row r="13" spans="2:12" x14ac:dyDescent="0.45">
      <c r="D13" s="4" t="s">
        <v>9</v>
      </c>
      <c r="E13" s="4" t="s">
        <v>17</v>
      </c>
      <c r="F13" s="4">
        <v>800</v>
      </c>
    </row>
    <row r="14" spans="2:12" x14ac:dyDescent="0.45">
      <c r="D14" s="4" t="s">
        <v>18</v>
      </c>
      <c r="E14" s="4" t="s">
        <v>19</v>
      </c>
      <c r="F14" s="4">
        <v>500</v>
      </c>
    </row>
    <row r="15" spans="2:12" x14ac:dyDescent="0.45">
      <c r="D15" s="5" t="s">
        <v>39</v>
      </c>
      <c r="E15" s="5"/>
      <c r="F15" s="5"/>
    </row>
    <row r="16" spans="2:12" x14ac:dyDescent="0.45">
      <c r="D16" s="4" t="s">
        <v>9</v>
      </c>
      <c r="E16" s="4" t="s">
        <v>20</v>
      </c>
      <c r="F16" s="4">
        <v>1500</v>
      </c>
    </row>
    <row r="17" spans="4:6" x14ac:dyDescent="0.45">
      <c r="D17" s="4" t="s">
        <v>9</v>
      </c>
      <c r="E17" s="4" t="s">
        <v>27</v>
      </c>
      <c r="F17" s="4">
        <f>GroundData!F6</f>
        <v>0</v>
      </c>
    </row>
    <row r="18" spans="4:6" x14ac:dyDescent="0.45">
      <c r="D18" s="4" t="s">
        <v>9</v>
      </c>
      <c r="E18" s="4" t="s">
        <v>28</v>
      </c>
      <c r="F18" s="4">
        <f>GroundData!F7</f>
        <v>0</v>
      </c>
    </row>
    <row r="19" spans="4:6" x14ac:dyDescent="0.45">
      <c r="D19" s="4" t="s">
        <v>9</v>
      </c>
      <c r="E19" s="4" t="s">
        <v>29</v>
      </c>
      <c r="F19" s="4">
        <v>400</v>
      </c>
    </row>
    <row r="20" spans="4:6" x14ac:dyDescent="0.45">
      <c r="D20" s="4" t="s">
        <v>9</v>
      </c>
      <c r="E20" s="4" t="s">
        <v>30</v>
      </c>
      <c r="F20" s="4">
        <v>100</v>
      </c>
    </row>
    <row r="21" spans="4:6" x14ac:dyDescent="0.45">
      <c r="D21" s="5" t="s">
        <v>40</v>
      </c>
      <c r="E21" s="5"/>
      <c r="F21" s="5"/>
    </row>
    <row r="22" spans="4:6" x14ac:dyDescent="0.45">
      <c r="D22" s="5" t="s">
        <v>34</v>
      </c>
      <c r="E22" s="5" t="s">
        <v>33</v>
      </c>
      <c r="F22" s="5" t="s">
        <v>35</v>
      </c>
    </row>
  </sheetData>
  <mergeCells count="4">
    <mergeCell ref="D4:F4"/>
    <mergeCell ref="D2:F2"/>
    <mergeCell ref="H4:L4"/>
    <mergeCell ref="H2:L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79F40-1E11-4E30-8B1C-396F49E0D7DC}">
  <sheetPr codeName="Sheet9"/>
  <dimension ref="A2:B2"/>
  <sheetViews>
    <sheetView workbookViewId="0"/>
  </sheetViews>
  <sheetFormatPr defaultRowHeight="18" x14ac:dyDescent="0.45"/>
  <sheetData>
    <row r="2" spans="1:2" x14ac:dyDescent="0.45">
      <c r="A2" t="s">
        <v>43</v>
      </c>
      <c r="B2">
        <v>3.1415920000000002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FCD9A-E7FB-4F0C-8F04-92D98D3672A1}">
  <sheetPr codeName="Sheet8"/>
  <dimension ref="A1:C6"/>
  <sheetViews>
    <sheetView workbookViewId="0">
      <selection activeCell="C5" sqref="C5"/>
    </sheetView>
  </sheetViews>
  <sheetFormatPr defaultRowHeight="18" x14ac:dyDescent="0.45"/>
  <cols>
    <col min="1" max="1" width="13.09765625" customWidth="1"/>
    <col min="2" max="2" width="16.59765625" customWidth="1"/>
  </cols>
  <sheetData>
    <row r="1" spans="1:3" x14ac:dyDescent="0.45">
      <c r="A1" t="s">
        <v>6</v>
      </c>
      <c r="B1" t="s">
        <v>3</v>
      </c>
      <c r="C1" t="s">
        <v>22</v>
      </c>
    </row>
    <row r="2" spans="1:3" x14ac:dyDescent="0.45">
      <c r="A2" t="s">
        <v>31</v>
      </c>
      <c r="B2" t="s">
        <v>23</v>
      </c>
      <c r="C2">
        <v>300</v>
      </c>
    </row>
    <row r="3" spans="1:3" x14ac:dyDescent="0.45">
      <c r="A3" t="s">
        <v>31</v>
      </c>
      <c r="B3" t="s">
        <v>21</v>
      </c>
      <c r="C3">
        <v>-300</v>
      </c>
    </row>
    <row r="4" spans="1:3" x14ac:dyDescent="0.45">
      <c r="A4" t="s">
        <v>32</v>
      </c>
      <c r="B4" t="s">
        <v>24</v>
      </c>
      <c r="C4">
        <v>2000</v>
      </c>
    </row>
    <row r="5" spans="1:3" x14ac:dyDescent="0.45">
      <c r="A5" t="s">
        <v>32</v>
      </c>
      <c r="B5" t="s">
        <v>25</v>
      </c>
      <c r="C5">
        <v>0</v>
      </c>
    </row>
    <row r="6" spans="1:3" x14ac:dyDescent="0.45">
      <c r="A6" t="s">
        <v>9</v>
      </c>
      <c r="B6" t="s">
        <v>26</v>
      </c>
      <c r="C6">
        <v>450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B9D43-5F12-40D5-B427-B30AD8A3F9C6}">
  <sheetPr codeName="Sheet13"/>
  <dimension ref="A1:R101"/>
  <sheetViews>
    <sheetView tabSelected="1" zoomScale="85" zoomScaleNormal="85" workbookViewId="0">
      <pane xSplit="2" ySplit="1" topLeftCell="M38" activePane="bottomRight" state="frozen"/>
      <selection pane="topRight" activeCell="C1" sqref="C1"/>
      <selection pane="bottomLeft" activeCell="A2" sqref="A2"/>
      <selection pane="bottomRight" activeCell="R1" sqref="R1"/>
    </sheetView>
  </sheetViews>
  <sheetFormatPr defaultRowHeight="18" x14ac:dyDescent="0.45"/>
  <cols>
    <col min="1" max="1" width="19.59765625" style="22" customWidth="1"/>
    <col min="2" max="2" width="16" customWidth="1"/>
    <col min="3" max="6" width="12.5" customWidth="1"/>
    <col min="7" max="7" width="10.5" customWidth="1"/>
    <col min="9" max="9" width="14.5" customWidth="1"/>
    <col min="10" max="11" width="15.69921875" customWidth="1"/>
    <col min="12" max="12" width="15.09765625" customWidth="1"/>
    <col min="13" max="13" width="13.19921875" customWidth="1"/>
    <col min="14" max="14" width="11.8984375" customWidth="1"/>
  </cols>
  <sheetData>
    <row r="1" spans="1:18" s="8" customFormat="1" x14ac:dyDescent="0.45">
      <c r="A1" s="23" t="s">
        <v>6</v>
      </c>
      <c r="B1" s="8" t="s">
        <v>3</v>
      </c>
      <c r="C1" s="8" t="s">
        <v>58</v>
      </c>
      <c r="D1" s="8" t="s">
        <v>109</v>
      </c>
      <c r="E1" s="8" t="s">
        <v>106</v>
      </c>
      <c r="F1" s="8" t="s">
        <v>111</v>
      </c>
      <c r="G1" s="8" t="s">
        <v>2</v>
      </c>
      <c r="H1" s="8" t="s">
        <v>76</v>
      </c>
      <c r="I1" s="8" t="s">
        <v>67</v>
      </c>
      <c r="J1" s="8" t="s">
        <v>141</v>
      </c>
      <c r="K1" s="8" t="s">
        <v>77</v>
      </c>
      <c r="L1" s="8" t="s">
        <v>82</v>
      </c>
      <c r="M1" s="8" t="s">
        <v>84</v>
      </c>
      <c r="N1" s="8" t="s">
        <v>85</v>
      </c>
      <c r="O1" s="8" t="s">
        <v>135</v>
      </c>
      <c r="P1" s="8" t="s">
        <v>145</v>
      </c>
      <c r="Q1" s="8" t="s">
        <v>154</v>
      </c>
      <c r="R1" s="8" t="s">
        <v>146</v>
      </c>
    </row>
    <row r="2" spans="1:18" s="31" customFormat="1" x14ac:dyDescent="0.45">
      <c r="A2" s="31" t="s">
        <v>127</v>
      </c>
    </row>
    <row r="3" spans="1:18" s="23" customFormat="1" x14ac:dyDescent="0.45">
      <c r="A3" s="23" t="s">
        <v>86</v>
      </c>
      <c r="G3" s="23">
        <v>-100</v>
      </c>
      <c r="H3" s="23">
        <v>0</v>
      </c>
      <c r="I3" s="23">
        <f>-K11+I11</f>
        <v>-250</v>
      </c>
      <c r="J3" s="23">
        <v>0</v>
      </c>
      <c r="K3" s="23">
        <v>0</v>
      </c>
      <c r="L3" s="23">
        <v>0</v>
      </c>
      <c r="M3" s="23">
        <f>E28</f>
        <v>-300</v>
      </c>
      <c r="N3" s="23">
        <f>E27</f>
        <v>300</v>
      </c>
    </row>
    <row r="4" spans="1:18" s="23" customFormat="1" x14ac:dyDescent="0.45">
      <c r="A4" s="23" t="s">
        <v>87</v>
      </c>
      <c r="G4" s="23">
        <v>0</v>
      </c>
      <c r="H4" s="23">
        <v>400</v>
      </c>
      <c r="I4" s="23">
        <f>I12*2</f>
        <v>100</v>
      </c>
      <c r="J4" s="23">
        <f>E31</f>
        <v>450</v>
      </c>
      <c r="K4" s="23">
        <v>0</v>
      </c>
      <c r="L4" s="23">
        <v>300</v>
      </c>
      <c r="M4" s="23">
        <f>E31/2</f>
        <v>225</v>
      </c>
      <c r="N4" s="23">
        <f>M4</f>
        <v>225</v>
      </c>
    </row>
    <row r="5" spans="1:18" s="23" customFormat="1" x14ac:dyDescent="0.45">
      <c r="A5" s="23" t="s">
        <v>88</v>
      </c>
      <c r="G5" s="23">
        <v>200</v>
      </c>
      <c r="H5" s="23">
        <v>200</v>
      </c>
      <c r="I5" s="23">
        <f>((E29 - I13*2*(I40-1) +I13)*-1)*-1</f>
        <v>1950</v>
      </c>
      <c r="J5" s="23">
        <v>1000</v>
      </c>
      <c r="K5" s="23">
        <v>1000</v>
      </c>
      <c r="L5" s="23">
        <v>2000</v>
      </c>
      <c r="M5" s="23">
        <v>1000</v>
      </c>
      <c r="N5" s="23">
        <v>1000</v>
      </c>
    </row>
    <row r="6" spans="1:18" s="16" customFormat="1" x14ac:dyDescent="0.45">
      <c r="A6" s="13" t="s">
        <v>74</v>
      </c>
      <c r="B6" s="14" t="s">
        <v>63</v>
      </c>
      <c r="C6" s="15" t="str">
        <f t="shared" ref="C6:H6" si="0">C3 &amp; " " &amp; C4 &amp; " " &amp; C5</f>
        <v xml:space="preserve">  </v>
      </c>
      <c r="D6" s="15" t="str">
        <f t="shared" si="0"/>
        <v xml:space="preserve">  </v>
      </c>
      <c r="E6" s="15" t="str">
        <f t="shared" si="0"/>
        <v xml:space="preserve">  </v>
      </c>
      <c r="F6" s="15" t="str">
        <f t="shared" si="0"/>
        <v xml:space="preserve">  </v>
      </c>
      <c r="G6" s="15" t="str">
        <f t="shared" si="0"/>
        <v>-100 0 200</v>
      </c>
      <c r="H6" s="15" t="str">
        <f t="shared" si="0"/>
        <v>0 400 200</v>
      </c>
      <c r="I6" s="15" t="str">
        <f>I3 &amp; " " &amp; I4 &amp; " " &amp; I5</f>
        <v>-250 100 1950</v>
      </c>
      <c r="J6" s="15" t="str">
        <f>J3 &amp; " " &amp; J4 &amp; " " &amp; J5</f>
        <v>0 450 1000</v>
      </c>
      <c r="K6" s="15" t="str">
        <f>K3 &amp; " " &amp; K4 &amp; " " &amp; K5</f>
        <v>0 0 1000</v>
      </c>
      <c r="L6" s="15" t="str">
        <f t="shared" ref="L6:N6" si="1">L3 &amp; " " &amp; L4 &amp; " " &amp; L5</f>
        <v>0 300 2000</v>
      </c>
      <c r="M6" s="15" t="str">
        <f t="shared" si="1"/>
        <v>-300 225 1000</v>
      </c>
      <c r="N6" s="15" t="str">
        <f t="shared" si="1"/>
        <v>300 225 1000</v>
      </c>
    </row>
    <row r="7" spans="1:18" s="23" customFormat="1" x14ac:dyDescent="0.45">
      <c r="A7" s="23" t="s">
        <v>91</v>
      </c>
      <c r="G7" s="23">
        <v>0</v>
      </c>
      <c r="J7" s="23">
        <f>MathHelper!B2 /2</f>
        <v>1.5707960000000001</v>
      </c>
      <c r="K7" s="23">
        <f>MathHelper!B2 /2</f>
        <v>1.5707960000000001</v>
      </c>
      <c r="M7" s="23">
        <v>0</v>
      </c>
      <c r="N7" s="23">
        <v>0</v>
      </c>
      <c r="O7" s="23">
        <f>-PI()/2</f>
        <v>-1.5707963267948966</v>
      </c>
    </row>
    <row r="8" spans="1:18" s="23" customFormat="1" x14ac:dyDescent="0.45">
      <c r="A8" s="23" t="s">
        <v>92</v>
      </c>
      <c r="G8" s="23">
        <f>PI()</f>
        <v>3.1415926535897931</v>
      </c>
      <c r="J8" s="23">
        <v>0</v>
      </c>
      <c r="K8" s="23">
        <v>0</v>
      </c>
      <c r="M8" s="23">
        <f>MathHelper!B2 /2</f>
        <v>1.5707960000000001</v>
      </c>
      <c r="N8" s="23">
        <f>MathHelper!B2 /2</f>
        <v>1.5707960000000001</v>
      </c>
      <c r="O8" s="23">
        <v>0</v>
      </c>
    </row>
    <row r="9" spans="1:18" s="23" customFormat="1" x14ac:dyDescent="0.45">
      <c r="A9" s="23" t="s">
        <v>93</v>
      </c>
      <c r="G9" s="23">
        <v>0</v>
      </c>
      <c r="J9" s="23">
        <v>0</v>
      </c>
      <c r="K9" s="23">
        <v>0</v>
      </c>
      <c r="M9" s="23">
        <v>0</v>
      </c>
      <c r="N9" s="23">
        <v>0</v>
      </c>
      <c r="O9" s="23">
        <v>0</v>
      </c>
    </row>
    <row r="10" spans="1:18" s="13" customFormat="1" x14ac:dyDescent="0.45">
      <c r="A10" s="13" t="s">
        <v>74</v>
      </c>
      <c r="B10" s="13" t="s">
        <v>62</v>
      </c>
      <c r="C10" s="13" t="str">
        <f t="shared" ref="C10:H10" si="2">C7 &amp; " " &amp; C8 &amp; " " &amp; C9</f>
        <v xml:space="preserve">  </v>
      </c>
      <c r="D10" s="13" t="str">
        <f t="shared" si="2"/>
        <v xml:space="preserve">  </v>
      </c>
      <c r="E10" s="13" t="str">
        <f t="shared" si="2"/>
        <v xml:space="preserve">  </v>
      </c>
      <c r="F10" s="13" t="str">
        <f t="shared" si="2"/>
        <v xml:space="preserve">  </v>
      </c>
      <c r="G10" s="13" t="str">
        <f t="shared" si="2"/>
        <v>0 3.14159265358979 0</v>
      </c>
      <c r="H10" s="13" t="str">
        <f t="shared" si="2"/>
        <v xml:space="preserve">  </v>
      </c>
      <c r="I10" s="13" t="str">
        <f>I7 &amp; " " &amp; I8 &amp; " " &amp; I9</f>
        <v xml:space="preserve">  </v>
      </c>
      <c r="J10" s="13" t="str">
        <f>J7 &amp; " " &amp; J8 &amp; " " &amp; J9</f>
        <v>1.570796 0 0</v>
      </c>
      <c r="K10" s="13" t="str">
        <f>K7 &amp; " " &amp; K8 &amp; " " &amp; K9</f>
        <v>1.570796 0 0</v>
      </c>
      <c r="L10" s="13" t="str">
        <f t="shared" ref="L10:N10" si="3">L7 &amp; " " &amp; L8 &amp; " " &amp; L9</f>
        <v xml:space="preserve">  </v>
      </c>
      <c r="M10" s="13" t="str">
        <f t="shared" si="3"/>
        <v>0 1.570796 0</v>
      </c>
      <c r="N10" s="13" t="str">
        <f t="shared" si="3"/>
        <v>0 1.570796 0</v>
      </c>
    </row>
    <row r="11" spans="1:18" s="23" customFormat="1" x14ac:dyDescent="0.45">
      <c r="A11" s="23" t="s">
        <v>94</v>
      </c>
      <c r="G11" s="23">
        <v>100</v>
      </c>
      <c r="H11" s="23">
        <v>10</v>
      </c>
      <c r="I11" s="23">
        <v>50</v>
      </c>
      <c r="J11" s="23">
        <v>300</v>
      </c>
      <c r="K11" s="23">
        <v>300</v>
      </c>
      <c r="L11" s="23">
        <f>K11</f>
        <v>300</v>
      </c>
      <c r="M11" s="23">
        <v>1000</v>
      </c>
      <c r="N11" s="23">
        <v>1000</v>
      </c>
      <c r="O11" s="23">
        <v>40</v>
      </c>
    </row>
    <row r="12" spans="1:18" s="23" customFormat="1" x14ac:dyDescent="0.45">
      <c r="A12" s="23" t="s">
        <v>95</v>
      </c>
      <c r="G12" s="23">
        <v>100</v>
      </c>
      <c r="H12" s="23">
        <v>10</v>
      </c>
      <c r="I12" s="23">
        <v>50</v>
      </c>
      <c r="J12" s="23">
        <v>1000</v>
      </c>
      <c r="K12" s="23">
        <v>1000</v>
      </c>
      <c r="L12" s="23">
        <f>K11</f>
        <v>300</v>
      </c>
      <c r="M12" s="23">
        <f>E31/2</f>
        <v>225</v>
      </c>
      <c r="N12" s="23">
        <f>M12</f>
        <v>225</v>
      </c>
      <c r="O12" s="23">
        <v>40</v>
      </c>
    </row>
    <row r="13" spans="1:18" s="23" customFormat="1" x14ac:dyDescent="0.45">
      <c r="A13" s="23" t="s">
        <v>96</v>
      </c>
      <c r="G13" s="23">
        <v>100</v>
      </c>
      <c r="H13" s="23">
        <v>10</v>
      </c>
      <c r="I13" s="23">
        <v>50</v>
      </c>
      <c r="J13" s="23">
        <v>1</v>
      </c>
      <c r="K13" s="23">
        <v>1</v>
      </c>
      <c r="L13" s="23">
        <v>1</v>
      </c>
      <c r="M13" s="23">
        <v>1</v>
      </c>
      <c r="N13" s="23">
        <v>1</v>
      </c>
      <c r="O13" s="23">
        <v>40</v>
      </c>
    </row>
    <row r="14" spans="1:18" s="13" customFormat="1" x14ac:dyDescent="0.45">
      <c r="A14" s="13" t="s">
        <v>73</v>
      </c>
      <c r="B14" s="13" t="s">
        <v>64</v>
      </c>
      <c r="C14" s="14" t="str">
        <f t="shared" ref="C14:H14" si="4">C11 &amp; " " &amp; C12 &amp; " " &amp;C13</f>
        <v xml:space="preserve">  </v>
      </c>
      <c r="D14" s="14" t="str">
        <f t="shared" si="4"/>
        <v xml:space="preserve">  </v>
      </c>
      <c r="E14" s="14" t="str">
        <f t="shared" si="4"/>
        <v xml:space="preserve">  </v>
      </c>
      <c r="F14" s="14" t="str">
        <f t="shared" si="4"/>
        <v xml:space="preserve">  </v>
      </c>
      <c r="G14" s="14" t="str">
        <f t="shared" si="4"/>
        <v>100 100 100</v>
      </c>
      <c r="H14" s="14" t="str">
        <f t="shared" si="4"/>
        <v>10 10 10</v>
      </c>
      <c r="I14" s="14" t="str">
        <f>I11 &amp; " " &amp; I12 &amp; " " &amp;I13</f>
        <v>50 50 50</v>
      </c>
      <c r="J14" s="14" t="str">
        <f t="shared" ref="J14" si="5">J11 &amp; " " &amp; J12 &amp; " " &amp;J13</f>
        <v>300 1000 1</v>
      </c>
      <c r="K14" s="14" t="str">
        <f t="shared" ref="K14:N14" si="6">K11 &amp; " " &amp; K12 &amp; " " &amp;K13</f>
        <v>300 1000 1</v>
      </c>
      <c r="L14" s="14" t="str">
        <f t="shared" si="6"/>
        <v>300 300 1</v>
      </c>
      <c r="M14" s="14" t="str">
        <f t="shared" si="6"/>
        <v>1000 225 1</v>
      </c>
      <c r="N14" s="14" t="str">
        <f t="shared" si="6"/>
        <v>1000 225 1</v>
      </c>
    </row>
    <row r="15" spans="1:18" s="8" customFormat="1" x14ac:dyDescent="0.45">
      <c r="A15" s="23" t="s">
        <v>99</v>
      </c>
      <c r="B15" s="8" t="s">
        <v>66</v>
      </c>
      <c r="E15" s="8">
        <f t="shared" ref="E15:F15" si="7">E38*E39*E40</f>
        <v>0</v>
      </c>
      <c r="F15" s="8">
        <f t="shared" si="7"/>
        <v>0</v>
      </c>
      <c r="G15" s="8">
        <f>G38*G39*G40</f>
        <v>0</v>
      </c>
      <c r="H15" s="8">
        <f>H38*H39*H40</f>
        <v>0</v>
      </c>
      <c r="I15" s="8">
        <f>I38*I39*I40</f>
        <v>36</v>
      </c>
      <c r="J15" s="8">
        <f t="shared" ref="J15" si="8">J38*J39*J40</f>
        <v>0</v>
      </c>
      <c r="K15" s="8">
        <f t="shared" ref="K15:N15" si="9">K38*K39*K40</f>
        <v>0</v>
      </c>
      <c r="L15" s="8">
        <f t="shared" si="9"/>
        <v>0</v>
      </c>
      <c r="M15" s="8">
        <f t="shared" si="9"/>
        <v>0</v>
      </c>
      <c r="N15" s="8">
        <f t="shared" si="9"/>
        <v>0</v>
      </c>
    </row>
    <row r="16" spans="1:18" s="8" customFormat="1" x14ac:dyDescent="0.45">
      <c r="A16" s="23"/>
    </row>
    <row r="17" spans="1:18" s="19" customFormat="1" x14ac:dyDescent="0.45">
      <c r="A17" s="27" t="s">
        <v>121</v>
      </c>
    </row>
    <row r="18" spans="1:18" s="23" customFormat="1" x14ac:dyDescent="0.45">
      <c r="A18" s="23" t="s">
        <v>115</v>
      </c>
      <c r="G18" s="23">
        <f>$E$28+[1]PlayerHelper!B4</f>
        <v>-290</v>
      </c>
      <c r="H18" s="23">
        <f>E28+H11</f>
        <v>-290</v>
      </c>
      <c r="O18" s="23">
        <f>$E$28+O11</f>
        <v>-260</v>
      </c>
    </row>
    <row r="19" spans="1:18" s="23" customFormat="1" x14ac:dyDescent="0.45">
      <c r="A19" s="23" t="s">
        <v>116</v>
      </c>
      <c r="G19" s="23">
        <v>0</v>
      </c>
      <c r="H19" s="23">
        <f>H12</f>
        <v>10</v>
      </c>
      <c r="O19" s="23">
        <f>O12</f>
        <v>40</v>
      </c>
    </row>
    <row r="20" spans="1:18" s="23" customFormat="1" x14ac:dyDescent="0.45">
      <c r="A20" s="23" t="s">
        <v>136</v>
      </c>
      <c r="G20" s="23">
        <f>($E$30+[1]PlayerHelper!B4)*-1</f>
        <v>-10</v>
      </c>
      <c r="H20" s="23">
        <f>(E30+H13)</f>
        <v>10</v>
      </c>
      <c r="O20" s="23">
        <f>$E$29-O13 -I13*I40 - 60</f>
        <v>1800</v>
      </c>
    </row>
    <row r="21" spans="1:18" s="25" customFormat="1" x14ac:dyDescent="0.45">
      <c r="A21" s="25" t="s">
        <v>74</v>
      </c>
      <c r="B21" s="24" t="s">
        <v>119</v>
      </c>
      <c r="C21" s="25" t="str">
        <f t="shared" ref="C21:R21" si="10">C18 &amp; " " &amp; C19 &amp; " " &amp; C20</f>
        <v xml:space="preserve">  </v>
      </c>
      <c r="D21" s="25" t="str">
        <f t="shared" si="10"/>
        <v xml:space="preserve">  </v>
      </c>
      <c r="E21" s="25" t="str">
        <f t="shared" si="10"/>
        <v xml:space="preserve">  </v>
      </c>
      <c r="F21" s="25" t="str">
        <f t="shared" si="10"/>
        <v xml:space="preserve">  </v>
      </c>
      <c r="G21" s="25" t="str">
        <f>G18 &amp; " " &amp; G19 &amp; " " &amp; G20</f>
        <v>-290 0 -10</v>
      </c>
      <c r="H21" s="25" t="str">
        <f>H18 &amp; " " &amp; H19 &amp; " " &amp; H20</f>
        <v>-290 10 10</v>
      </c>
      <c r="I21" s="25" t="str">
        <f t="shared" si="10"/>
        <v xml:space="preserve">  </v>
      </c>
      <c r="J21" s="25" t="str">
        <f t="shared" ref="J21" si="11">J18 &amp; " " &amp; J19 &amp; " " &amp; J20</f>
        <v xml:space="preserve">  </v>
      </c>
      <c r="K21" s="25" t="str">
        <f t="shared" si="10"/>
        <v xml:space="preserve">  </v>
      </c>
      <c r="L21" s="25" t="str">
        <f t="shared" si="10"/>
        <v xml:space="preserve">  </v>
      </c>
      <c r="M21" s="25" t="str">
        <f t="shared" si="10"/>
        <v xml:space="preserve">  </v>
      </c>
      <c r="N21" s="25" t="str">
        <f t="shared" si="10"/>
        <v xml:space="preserve">  </v>
      </c>
      <c r="O21" s="25" t="str">
        <f>O18 &amp; " " &amp; O19 &amp; " " &amp; O20</f>
        <v>-260 40 1800</v>
      </c>
      <c r="P21" s="25" t="str">
        <f t="shared" si="10"/>
        <v xml:space="preserve">  </v>
      </c>
      <c r="Q21" s="25" t="str">
        <f t="shared" si="10"/>
        <v xml:space="preserve">  </v>
      </c>
      <c r="R21" s="25" t="str">
        <f t="shared" si="10"/>
        <v xml:space="preserve">  </v>
      </c>
    </row>
    <row r="22" spans="1:18" s="23" customFormat="1" x14ac:dyDescent="0.45">
      <c r="A22" s="23" t="s">
        <v>117</v>
      </c>
      <c r="G22" s="23">
        <f>$E$27+[1]PlayerHelper!B4</f>
        <v>310</v>
      </c>
      <c r="H22" s="23">
        <f>E27-H11</f>
        <v>290</v>
      </c>
      <c r="O22" s="23">
        <f>$E$27-O11</f>
        <v>260</v>
      </c>
    </row>
    <row r="23" spans="1:18" s="23" customFormat="1" x14ac:dyDescent="0.45">
      <c r="A23" s="23" t="s">
        <v>118</v>
      </c>
      <c r="G23" s="23">
        <f>$E$31+[1]PlayerHelper!B4</f>
        <v>460</v>
      </c>
      <c r="H23" s="23">
        <f>E31-H12</f>
        <v>440</v>
      </c>
      <c r="O23" s="23">
        <v>300</v>
      </c>
    </row>
    <row r="24" spans="1:18" s="23" customFormat="1" x14ac:dyDescent="0.45">
      <c r="A24" s="23" t="s">
        <v>137</v>
      </c>
      <c r="G24" s="23">
        <f>(($E$29+[1]PlayerHelper!B4)*-1)*-1</f>
        <v>2010</v>
      </c>
      <c r="H24" s="23">
        <f>((E29-H13)*-1)*-1</f>
        <v>1990</v>
      </c>
      <c r="O24" s="23">
        <f>$E$29-O13+ 10</f>
        <v>1970</v>
      </c>
    </row>
    <row r="25" spans="1:18" s="25" customFormat="1" x14ac:dyDescent="0.45">
      <c r="A25" s="25" t="s">
        <v>74</v>
      </c>
      <c r="B25" s="24" t="s">
        <v>120</v>
      </c>
      <c r="C25" s="25" t="str">
        <f>C22 &amp; " " &amp; C23 &amp; " " &amp; C24</f>
        <v xml:space="preserve">  </v>
      </c>
      <c r="D25" s="25" t="str">
        <f t="shared" ref="D25:R25" si="12">D22 &amp; " " &amp; D23 &amp; " " &amp; D24</f>
        <v xml:space="preserve">  </v>
      </c>
      <c r="E25" s="25" t="str">
        <f t="shared" si="12"/>
        <v xml:space="preserve">  </v>
      </c>
      <c r="F25" s="25" t="str">
        <f t="shared" si="12"/>
        <v xml:space="preserve">  </v>
      </c>
      <c r="G25" s="25" t="str">
        <f>G22 &amp; " " &amp; G23 &amp; " " &amp; G24</f>
        <v>310 460 2010</v>
      </c>
      <c r="H25" s="25" t="str">
        <f>H22 &amp; " " &amp; H23 &amp; " " &amp; H24</f>
        <v>290 440 1990</v>
      </c>
      <c r="I25" s="25" t="str">
        <f t="shared" si="12"/>
        <v xml:space="preserve">  </v>
      </c>
      <c r="J25" s="25" t="str">
        <f t="shared" ref="J25" si="13">J22 &amp; " " &amp; J23 &amp; " " &amp; J24</f>
        <v xml:space="preserve">  </v>
      </c>
      <c r="K25" s="25" t="str">
        <f t="shared" si="12"/>
        <v xml:space="preserve">  </v>
      </c>
      <c r="L25" s="25" t="str">
        <f t="shared" si="12"/>
        <v xml:space="preserve">  </v>
      </c>
      <c r="M25" s="25" t="str">
        <f t="shared" si="12"/>
        <v xml:space="preserve">  </v>
      </c>
      <c r="N25" s="25" t="str">
        <f t="shared" si="12"/>
        <v xml:space="preserve">  </v>
      </c>
      <c r="O25" s="25" t="str">
        <f t="shared" si="12"/>
        <v>260 300 1970</v>
      </c>
      <c r="P25" s="25" t="str">
        <f t="shared" si="12"/>
        <v xml:space="preserve">  </v>
      </c>
      <c r="Q25" s="25" t="str">
        <f t="shared" si="12"/>
        <v xml:space="preserve">  </v>
      </c>
      <c r="R25" s="25" t="str">
        <f t="shared" si="12"/>
        <v xml:space="preserve">  </v>
      </c>
    </row>
    <row r="26" spans="1:18" s="33" customFormat="1" x14ac:dyDescent="0.45">
      <c r="A26" s="32" t="s">
        <v>106</v>
      </c>
    </row>
    <row r="27" spans="1:18" s="22" customFormat="1" x14ac:dyDescent="0.45">
      <c r="A27" s="22" t="s">
        <v>31</v>
      </c>
      <c r="B27" s="22" t="s">
        <v>23</v>
      </c>
      <c r="E27" s="22">
        <v>300</v>
      </c>
    </row>
    <row r="28" spans="1:18" s="22" customFormat="1" x14ac:dyDescent="0.45">
      <c r="A28" s="22" t="s">
        <v>31</v>
      </c>
      <c r="B28" s="22" t="s">
        <v>21</v>
      </c>
      <c r="E28" s="22">
        <v>-300</v>
      </c>
    </row>
    <row r="29" spans="1:18" s="22" customFormat="1" x14ac:dyDescent="0.45">
      <c r="A29" s="22" t="s">
        <v>32</v>
      </c>
      <c r="B29" s="22" t="s">
        <v>24</v>
      </c>
      <c r="E29" s="23">
        <v>2000</v>
      </c>
    </row>
    <row r="30" spans="1:18" s="22" customFormat="1" x14ac:dyDescent="0.45">
      <c r="A30" s="22" t="s">
        <v>32</v>
      </c>
      <c r="B30" s="22" t="s">
        <v>107</v>
      </c>
      <c r="E30" s="22">
        <v>0</v>
      </c>
    </row>
    <row r="31" spans="1:18" s="22" customFormat="1" x14ac:dyDescent="0.45">
      <c r="A31" s="22" t="s">
        <v>9</v>
      </c>
      <c r="B31" s="22" t="s">
        <v>108</v>
      </c>
      <c r="E31" s="22">
        <v>450</v>
      </c>
    </row>
    <row r="32" spans="1:18" s="28" customFormat="1" x14ac:dyDescent="0.45">
      <c r="A32" s="28" t="s">
        <v>78</v>
      </c>
    </row>
    <row r="33" spans="1:14" s="23" customFormat="1" x14ac:dyDescent="0.45">
      <c r="A33" s="23" t="s">
        <v>71</v>
      </c>
      <c r="B33" s="23" t="s">
        <v>79</v>
      </c>
      <c r="H33" s="8" t="s">
        <v>138</v>
      </c>
      <c r="I33" s="23" t="s">
        <v>140</v>
      </c>
      <c r="J33" s="23" t="s">
        <v>139</v>
      </c>
      <c r="K33" s="23" t="s">
        <v>139</v>
      </c>
      <c r="L33" s="23" t="s">
        <v>139</v>
      </c>
      <c r="M33" s="23" t="s">
        <v>139</v>
      </c>
      <c r="N33" s="23" t="s">
        <v>139</v>
      </c>
    </row>
    <row r="34" spans="1:14" s="23" customFormat="1" x14ac:dyDescent="0.45">
      <c r="A34" s="23" t="s">
        <v>9</v>
      </c>
      <c r="B34" s="23" t="s">
        <v>124</v>
      </c>
      <c r="I34" s="23">
        <v>1</v>
      </c>
      <c r="J34" s="23">
        <v>2</v>
      </c>
      <c r="K34" s="23">
        <v>2</v>
      </c>
      <c r="L34" s="23">
        <v>3</v>
      </c>
      <c r="M34" s="23">
        <v>4</v>
      </c>
      <c r="N34" s="23">
        <v>4</v>
      </c>
    </row>
    <row r="35" spans="1:14" s="23" customFormat="1" x14ac:dyDescent="0.45">
      <c r="A35" s="23">
        <v>1</v>
      </c>
      <c r="B35" s="23" t="s">
        <v>125</v>
      </c>
      <c r="I35" s="23">
        <v>1</v>
      </c>
      <c r="J35" s="23">
        <v>2</v>
      </c>
      <c r="K35" s="23">
        <v>2</v>
      </c>
      <c r="L35" s="23">
        <v>3</v>
      </c>
      <c r="M35" s="23">
        <v>3</v>
      </c>
      <c r="N35" s="23">
        <v>3</v>
      </c>
    </row>
    <row r="36" spans="1:14" s="23" customFormat="1" x14ac:dyDescent="0.45">
      <c r="A36" s="23" t="s">
        <v>72</v>
      </c>
      <c r="B36" s="23" t="s">
        <v>80</v>
      </c>
    </row>
    <row r="37" spans="1:14" s="34" customFormat="1" x14ac:dyDescent="0.45">
      <c r="A37" s="34" t="s">
        <v>68</v>
      </c>
    </row>
    <row r="38" spans="1:14" s="23" customFormat="1" x14ac:dyDescent="0.45">
      <c r="A38" s="23" t="s">
        <v>98</v>
      </c>
      <c r="B38" s="23" t="s">
        <v>69</v>
      </c>
      <c r="I38" s="23">
        <v>6</v>
      </c>
    </row>
    <row r="39" spans="1:14" s="23" customFormat="1" x14ac:dyDescent="0.45">
      <c r="A39" s="23" t="s">
        <v>98</v>
      </c>
      <c r="B39" s="23" t="s">
        <v>70</v>
      </c>
      <c r="I39" s="23">
        <v>3</v>
      </c>
    </row>
    <row r="40" spans="1:14" s="23" customFormat="1" x14ac:dyDescent="0.45">
      <c r="A40" s="23" t="s">
        <v>98</v>
      </c>
      <c r="B40" s="23" t="s">
        <v>97</v>
      </c>
      <c r="I40" s="23">
        <v>2</v>
      </c>
    </row>
    <row r="41" spans="1:14" s="29" customFormat="1" x14ac:dyDescent="0.45">
      <c r="A41" s="29" t="s">
        <v>109</v>
      </c>
    </row>
    <row r="42" spans="1:14" s="22" customFormat="1" x14ac:dyDescent="0.45">
      <c r="A42" s="22" t="s">
        <v>71</v>
      </c>
      <c r="B42" s="22" t="s">
        <v>110</v>
      </c>
      <c r="D42" s="22" t="s">
        <v>155</v>
      </c>
    </row>
    <row r="43" spans="1:14" s="22" customFormat="1" x14ac:dyDescent="0.45">
      <c r="A43" s="22" t="s">
        <v>9</v>
      </c>
      <c r="B43" s="22" t="s">
        <v>153</v>
      </c>
      <c r="D43" s="22">
        <v>0.1</v>
      </c>
    </row>
    <row r="44" spans="1:14" s="22" customFormat="1" x14ac:dyDescent="0.45">
      <c r="A44" s="30" t="s">
        <v>111</v>
      </c>
    </row>
    <row r="45" spans="1:14" s="22" customFormat="1" x14ac:dyDescent="0.45">
      <c r="A45" s="22" t="s">
        <v>8</v>
      </c>
      <c r="B45" s="22" t="s">
        <v>126</v>
      </c>
      <c r="F45" s="22" t="s">
        <v>134</v>
      </c>
    </row>
    <row r="46" spans="1:14" s="35" customFormat="1" x14ac:dyDescent="0.45">
      <c r="A46" s="35" t="s">
        <v>128</v>
      </c>
    </row>
    <row r="47" spans="1:14" s="22" customFormat="1" x14ac:dyDescent="0.45">
      <c r="A47" s="22" t="s">
        <v>129</v>
      </c>
      <c r="B47" s="22" t="s">
        <v>130</v>
      </c>
      <c r="G47" s="22">
        <v>100</v>
      </c>
      <c r="H47" s="22">
        <v>50</v>
      </c>
    </row>
    <row r="48" spans="1:14" s="22" customFormat="1" x14ac:dyDescent="0.45">
      <c r="A48" s="22" t="s">
        <v>133</v>
      </c>
      <c r="B48" s="22" t="s">
        <v>132</v>
      </c>
      <c r="G48" s="22">
        <v>0.9</v>
      </c>
      <c r="H48" s="22">
        <v>0.99</v>
      </c>
    </row>
    <row r="49" spans="1:18" s="22" customFormat="1" x14ac:dyDescent="0.45">
      <c r="A49" s="22" t="s">
        <v>133</v>
      </c>
      <c r="B49" s="22" t="s">
        <v>131</v>
      </c>
      <c r="G49" s="22">
        <v>0.8</v>
      </c>
      <c r="H49" s="22">
        <v>1</v>
      </c>
    </row>
    <row r="50" spans="1:18" s="36" customFormat="1" x14ac:dyDescent="0.45">
      <c r="A50" s="36" t="s">
        <v>142</v>
      </c>
    </row>
    <row r="51" spans="1:18" s="22" customFormat="1" x14ac:dyDescent="0.45">
      <c r="A51" s="22" t="s">
        <v>143</v>
      </c>
      <c r="B51" s="22" t="s">
        <v>144</v>
      </c>
      <c r="P51" s="22">
        <v>5</v>
      </c>
      <c r="R51" s="22">
        <v>1</v>
      </c>
    </row>
    <row r="52" spans="1:18" s="22" customFormat="1" x14ac:dyDescent="0.45"/>
    <row r="53" spans="1:18" s="22" customFormat="1" x14ac:dyDescent="0.45"/>
    <row r="54" spans="1:18" s="22" customFormat="1" x14ac:dyDescent="0.45"/>
    <row r="55" spans="1:18" s="22" customFormat="1" x14ac:dyDescent="0.45"/>
    <row r="56" spans="1:18" s="22" customFormat="1" x14ac:dyDescent="0.45"/>
    <row r="57" spans="1:18" s="22" customFormat="1" x14ac:dyDescent="0.45"/>
    <row r="58" spans="1:18" s="22" customFormat="1" x14ac:dyDescent="0.45"/>
    <row r="59" spans="1:18" s="22" customFormat="1" x14ac:dyDescent="0.45"/>
    <row r="60" spans="1:18" s="22" customFormat="1" x14ac:dyDescent="0.45"/>
    <row r="61" spans="1:18" s="22" customFormat="1" x14ac:dyDescent="0.45"/>
    <row r="62" spans="1:18" s="22" customFormat="1" x14ac:dyDescent="0.45"/>
    <row r="63" spans="1:18" s="22" customFormat="1" x14ac:dyDescent="0.45"/>
    <row r="64" spans="1:18" s="22" customFormat="1" x14ac:dyDescent="0.45"/>
    <row r="65" s="22" customFormat="1" x14ac:dyDescent="0.45"/>
    <row r="66" s="22" customFormat="1" x14ac:dyDescent="0.45"/>
    <row r="67" s="22" customFormat="1" x14ac:dyDescent="0.45"/>
    <row r="68" s="22" customFormat="1" x14ac:dyDescent="0.45"/>
    <row r="69" s="22" customFormat="1" x14ac:dyDescent="0.45"/>
    <row r="70" s="22" customFormat="1" x14ac:dyDescent="0.45"/>
    <row r="71" s="22" customFormat="1" x14ac:dyDescent="0.45"/>
    <row r="72" s="22" customFormat="1" x14ac:dyDescent="0.45"/>
    <row r="73" s="22" customFormat="1" x14ac:dyDescent="0.45"/>
    <row r="74" s="22" customFormat="1" x14ac:dyDescent="0.45"/>
    <row r="75" s="22" customFormat="1" x14ac:dyDescent="0.45"/>
    <row r="76" s="22" customFormat="1" x14ac:dyDescent="0.45"/>
    <row r="77" s="22" customFormat="1" x14ac:dyDescent="0.45"/>
    <row r="78" s="22" customFormat="1" x14ac:dyDescent="0.45"/>
    <row r="79" s="22" customFormat="1" x14ac:dyDescent="0.45"/>
    <row r="80" s="22" customFormat="1" x14ac:dyDescent="0.45"/>
    <row r="81" s="22" customFormat="1" x14ac:dyDescent="0.45"/>
    <row r="82" s="22" customFormat="1" x14ac:dyDescent="0.45"/>
    <row r="83" s="22" customFormat="1" x14ac:dyDescent="0.45"/>
    <row r="84" s="22" customFormat="1" x14ac:dyDescent="0.45"/>
    <row r="85" s="22" customFormat="1" x14ac:dyDescent="0.45"/>
    <row r="86" s="22" customFormat="1" x14ac:dyDescent="0.45"/>
    <row r="87" s="22" customFormat="1" x14ac:dyDescent="0.45"/>
    <row r="88" s="22" customFormat="1" x14ac:dyDescent="0.45"/>
    <row r="89" s="22" customFormat="1" x14ac:dyDescent="0.45"/>
    <row r="90" s="22" customFormat="1" x14ac:dyDescent="0.45"/>
    <row r="91" s="22" customFormat="1" x14ac:dyDescent="0.45"/>
    <row r="92" s="22" customFormat="1" x14ac:dyDescent="0.45"/>
    <row r="93" s="22" customFormat="1" x14ac:dyDescent="0.45"/>
    <row r="94" s="22" customFormat="1" x14ac:dyDescent="0.45"/>
    <row r="95" s="22" customFormat="1" x14ac:dyDescent="0.45"/>
    <row r="96" s="22" customFormat="1" x14ac:dyDescent="0.45"/>
    <row r="97" s="22" customFormat="1" x14ac:dyDescent="0.45"/>
    <row r="98" s="22" customFormat="1" x14ac:dyDescent="0.45"/>
    <row r="99" s="22" customFormat="1" x14ac:dyDescent="0.45"/>
    <row r="100" s="22" customFormat="1" x14ac:dyDescent="0.45"/>
    <row r="101" s="22" customFormat="1" x14ac:dyDescent="0.45"/>
  </sheetData>
  <sheetProtection pivotTables="0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FA79B-3B79-43E7-9E49-C2622FA3A3F6}">
  <sheetPr codeName="Sheet11"/>
  <dimension ref="A1:Q44"/>
  <sheetViews>
    <sheetView topLeftCell="A16" zoomScale="85" zoomScaleNormal="85" workbookViewId="0">
      <selection activeCell="A17" sqref="A17:XFD25"/>
    </sheetView>
  </sheetViews>
  <sheetFormatPr defaultRowHeight="18" x14ac:dyDescent="0.45"/>
  <cols>
    <col min="1" max="1" width="19.59765625" customWidth="1"/>
    <col min="2" max="2" width="16" customWidth="1"/>
    <col min="3" max="6" width="12.5" customWidth="1"/>
    <col min="7" max="7" width="10.5" customWidth="1"/>
    <col min="9" max="9" width="14.5" customWidth="1"/>
    <col min="10" max="10" width="15.69921875" customWidth="1"/>
    <col min="11" max="11" width="15.09765625" customWidth="1"/>
    <col min="12" max="12" width="13.19921875" customWidth="1"/>
    <col min="13" max="13" width="11.8984375" customWidth="1"/>
  </cols>
  <sheetData>
    <row r="1" spans="1:13" s="8" customFormat="1" x14ac:dyDescent="0.45">
      <c r="A1" s="8" t="s">
        <v>6</v>
      </c>
      <c r="B1" s="8" t="s">
        <v>3</v>
      </c>
      <c r="C1" s="8" t="s">
        <v>58</v>
      </c>
      <c r="D1" s="8" t="s">
        <v>109</v>
      </c>
      <c r="E1" s="8" t="s">
        <v>106</v>
      </c>
      <c r="F1" s="8" t="s">
        <v>111</v>
      </c>
      <c r="G1" s="8" t="s">
        <v>2</v>
      </c>
      <c r="H1" s="8" t="s">
        <v>76</v>
      </c>
      <c r="I1" s="8" t="s">
        <v>67</v>
      </c>
      <c r="J1" s="8" t="s">
        <v>77</v>
      </c>
      <c r="K1" s="8" t="s">
        <v>82</v>
      </c>
      <c r="L1" s="8" t="s">
        <v>84</v>
      </c>
      <c r="M1" s="8" t="s">
        <v>85</v>
      </c>
    </row>
    <row r="2" spans="1:13" s="8" customFormat="1" x14ac:dyDescent="0.45">
      <c r="A2" s="12" t="s">
        <v>75</v>
      </c>
    </row>
    <row r="3" spans="1:13" s="8" customFormat="1" x14ac:dyDescent="0.45">
      <c r="A3" s="8" t="s">
        <v>86</v>
      </c>
      <c r="I3" s="8">
        <f>-J11+I11</f>
        <v>-250</v>
      </c>
      <c r="J3" s="8">
        <v>0</v>
      </c>
      <c r="K3" s="8">
        <v>0</v>
      </c>
      <c r="L3" s="8">
        <f>E37</f>
        <v>-300</v>
      </c>
      <c r="M3" s="8">
        <f>E36</f>
        <v>300</v>
      </c>
    </row>
    <row r="4" spans="1:13" s="8" customFormat="1" x14ac:dyDescent="0.45">
      <c r="A4" s="8" t="s">
        <v>87</v>
      </c>
      <c r="I4" s="8">
        <f>I12*2</f>
        <v>100</v>
      </c>
      <c r="J4" s="8">
        <v>0</v>
      </c>
      <c r="K4" s="8">
        <v>300</v>
      </c>
      <c r="L4" s="8">
        <v>100</v>
      </c>
      <c r="M4" s="8">
        <v>100</v>
      </c>
    </row>
    <row r="5" spans="1:13" s="8" customFormat="1" x14ac:dyDescent="0.45">
      <c r="A5" s="8" t="s">
        <v>88</v>
      </c>
      <c r="I5" s="8">
        <f>E38 + I13*2*(I34-1) +I13</f>
        <v>-975</v>
      </c>
      <c r="J5" s="8">
        <f>E38*0.5</f>
        <v>-600</v>
      </c>
      <c r="K5" s="8">
        <f>E38</f>
        <v>-1200</v>
      </c>
      <c r="L5" s="8">
        <f>-L11</f>
        <v>-650</v>
      </c>
      <c r="M5" s="8">
        <f>-M11</f>
        <v>-650</v>
      </c>
    </row>
    <row r="6" spans="1:13" s="16" customFormat="1" x14ac:dyDescent="0.45">
      <c r="A6" s="13" t="s">
        <v>74</v>
      </c>
      <c r="B6" s="14" t="s">
        <v>51</v>
      </c>
      <c r="C6" s="15" t="str">
        <f t="shared" ref="C6:H6" si="0">C3 &amp; " " &amp; C4 &amp; " " &amp; C5</f>
        <v xml:space="preserve">  </v>
      </c>
      <c r="D6" s="15"/>
      <c r="E6" s="15"/>
      <c r="F6" s="15"/>
      <c r="G6" s="15" t="str">
        <f t="shared" si="0"/>
        <v xml:space="preserve">  </v>
      </c>
      <c r="H6" s="15" t="str">
        <f t="shared" si="0"/>
        <v xml:space="preserve">  </v>
      </c>
      <c r="I6" s="15" t="str">
        <f>I3 &amp; " " &amp; I4 &amp; " " &amp; I5</f>
        <v>-250 100 -975</v>
      </c>
      <c r="J6" s="15" t="str">
        <f>J3 &amp; " " &amp; J4 &amp; " " &amp; J5</f>
        <v>0 0 -600</v>
      </c>
      <c r="K6" s="15" t="str">
        <f t="shared" ref="K6:M6" si="1">K3 &amp; " " &amp; K4 &amp; " " &amp; K5</f>
        <v>0 300 -1200</v>
      </c>
      <c r="L6" s="15" t="str">
        <f t="shared" si="1"/>
        <v>-300 100 -650</v>
      </c>
      <c r="M6" s="15" t="str">
        <f t="shared" si="1"/>
        <v>300 100 -650</v>
      </c>
    </row>
    <row r="7" spans="1:13" s="8" customFormat="1" x14ac:dyDescent="0.45">
      <c r="A7" s="8" t="s">
        <v>91</v>
      </c>
      <c r="J7" s="8">
        <f>MathHelper!B2 /2</f>
        <v>1.5707960000000001</v>
      </c>
      <c r="L7" s="8">
        <v>0</v>
      </c>
      <c r="M7" s="8">
        <v>0</v>
      </c>
    </row>
    <row r="8" spans="1:13" s="8" customFormat="1" x14ac:dyDescent="0.45">
      <c r="A8" s="8" t="s">
        <v>92</v>
      </c>
      <c r="J8" s="8">
        <v>0</v>
      </c>
      <c r="L8" s="8">
        <f>MathHelper!B2 /2</f>
        <v>1.5707960000000001</v>
      </c>
      <c r="M8" s="8">
        <f>MathHelper!B2 /2</f>
        <v>1.5707960000000001</v>
      </c>
    </row>
    <row r="9" spans="1:13" s="8" customFormat="1" x14ac:dyDescent="0.45">
      <c r="A9" s="8" t="s">
        <v>93</v>
      </c>
      <c r="J9" s="8">
        <v>0</v>
      </c>
      <c r="L9" s="8">
        <v>0</v>
      </c>
      <c r="M9" s="8">
        <v>0</v>
      </c>
    </row>
    <row r="10" spans="1:13" s="13" customFormat="1" x14ac:dyDescent="0.45">
      <c r="A10" s="13" t="s">
        <v>74</v>
      </c>
      <c r="B10" s="13" t="s">
        <v>103</v>
      </c>
      <c r="C10" s="13" t="str">
        <f t="shared" ref="C10:H10" si="2">C7 &amp; " " &amp; C8 &amp; " " &amp; C9</f>
        <v xml:space="preserve">  </v>
      </c>
      <c r="G10" s="13" t="str">
        <f t="shared" si="2"/>
        <v xml:space="preserve">  </v>
      </c>
      <c r="H10" s="13" t="str">
        <f t="shared" si="2"/>
        <v xml:space="preserve">  </v>
      </c>
      <c r="I10" s="13" t="str">
        <f>I7 &amp; " " &amp; I8 &amp; " " &amp; I9</f>
        <v xml:space="preserve">  </v>
      </c>
      <c r="J10" s="13" t="str">
        <f>J7 &amp; " " &amp; J8 &amp; " " &amp; J9</f>
        <v>1.570796 0 0</v>
      </c>
      <c r="K10" s="13" t="str">
        <f t="shared" ref="K10:M10" si="3">K7 &amp; " " &amp; K8 &amp; " " &amp; K9</f>
        <v xml:space="preserve">  </v>
      </c>
      <c r="L10" s="13" t="str">
        <f t="shared" si="3"/>
        <v>0 1.570796 0</v>
      </c>
      <c r="M10" s="13" t="str">
        <f t="shared" si="3"/>
        <v>0 1.570796 0</v>
      </c>
    </row>
    <row r="11" spans="1:13" s="8" customFormat="1" x14ac:dyDescent="0.45">
      <c r="A11" s="8" t="s">
        <v>94</v>
      </c>
      <c r="I11" s="8">
        <v>50</v>
      </c>
      <c r="J11" s="8">
        <v>300</v>
      </c>
      <c r="K11" s="8">
        <f>J11</f>
        <v>300</v>
      </c>
      <c r="L11" s="8">
        <f>J12</f>
        <v>650</v>
      </c>
      <c r="M11" s="8">
        <f>J12</f>
        <v>650</v>
      </c>
    </row>
    <row r="12" spans="1:13" s="8" customFormat="1" x14ac:dyDescent="0.45">
      <c r="A12" s="8" t="s">
        <v>95</v>
      </c>
      <c r="I12" s="8">
        <v>50</v>
      </c>
      <c r="J12" s="8">
        <v>650</v>
      </c>
      <c r="K12" s="8">
        <f>J11</f>
        <v>300</v>
      </c>
      <c r="L12" s="8">
        <v>100</v>
      </c>
      <c r="M12" s="8">
        <f>L12</f>
        <v>100</v>
      </c>
    </row>
    <row r="13" spans="1:13" s="8" customFormat="1" x14ac:dyDescent="0.45">
      <c r="A13" s="8" t="s">
        <v>96</v>
      </c>
      <c r="I13" s="8">
        <v>25</v>
      </c>
      <c r="J13" s="8">
        <v>1</v>
      </c>
      <c r="K13" s="8">
        <v>1</v>
      </c>
      <c r="L13" s="8">
        <v>1</v>
      </c>
      <c r="M13" s="8">
        <v>1</v>
      </c>
    </row>
    <row r="14" spans="1:13" s="13" customFormat="1" x14ac:dyDescent="0.45">
      <c r="A14" s="13" t="s">
        <v>73</v>
      </c>
      <c r="B14" s="13" t="s">
        <v>44</v>
      </c>
      <c r="C14" s="14" t="str">
        <f t="shared" ref="C14:H14" si="4">C11 &amp; " " &amp; C12 &amp; " " &amp;C13</f>
        <v xml:space="preserve">  </v>
      </c>
      <c r="D14" s="14"/>
      <c r="E14" s="14"/>
      <c r="F14" s="14"/>
      <c r="G14" s="14" t="str">
        <f t="shared" si="4"/>
        <v xml:space="preserve">  </v>
      </c>
      <c r="H14" s="14" t="str">
        <f t="shared" si="4"/>
        <v xml:space="preserve">  </v>
      </c>
      <c r="I14" s="14" t="str">
        <f>I11 &amp; " " &amp; I12 &amp; " " &amp;I13</f>
        <v>50 50 25</v>
      </c>
      <c r="J14" s="14" t="str">
        <f t="shared" ref="J14:M14" si="5">J11 &amp; " " &amp; J12 &amp; " " &amp;J13</f>
        <v>300 650 1</v>
      </c>
      <c r="K14" s="14" t="str">
        <f t="shared" si="5"/>
        <v>300 300 1</v>
      </c>
      <c r="L14" s="14" t="str">
        <f t="shared" si="5"/>
        <v>650 100 1</v>
      </c>
      <c r="M14" s="14" t="str">
        <f t="shared" si="5"/>
        <v>650 100 1</v>
      </c>
    </row>
    <row r="15" spans="1:13" s="8" customFormat="1" x14ac:dyDescent="0.45">
      <c r="A15" s="8" t="s">
        <v>99</v>
      </c>
      <c r="B15" s="8" t="s">
        <v>66</v>
      </c>
      <c r="I15" s="8">
        <f>I32*I33*I34</f>
        <v>90</v>
      </c>
    </row>
    <row r="16" spans="1:13" s="8" customFormat="1" x14ac:dyDescent="0.45"/>
    <row r="17" spans="1:17" s="8" customFormat="1" x14ac:dyDescent="0.45">
      <c r="A17" s="19"/>
    </row>
    <row r="18" spans="1:17" s="8" customFormat="1" x14ac:dyDescent="0.45">
      <c r="G18"/>
    </row>
    <row r="19" spans="1:17" s="8" customFormat="1" x14ac:dyDescent="0.45"/>
    <row r="20" spans="1:17" s="8" customFormat="1" x14ac:dyDescent="0.45"/>
    <row r="21" spans="1:17" s="25" customFormat="1" x14ac:dyDescent="0.45">
      <c r="B21" s="24"/>
    </row>
    <row r="22" spans="1:17" s="8" customFormat="1" x14ac:dyDescent="0.45"/>
    <row r="23" spans="1:17" s="8" customFormat="1" x14ac:dyDescent="0.45"/>
    <row r="24" spans="1:17" s="8" customFormat="1" x14ac:dyDescent="0.45"/>
    <row r="25" spans="1:17" s="26" customFormat="1" x14ac:dyDescent="0.45">
      <c r="A25" s="15"/>
      <c r="B25" s="14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</row>
    <row r="26" spans="1:17" s="8" customFormat="1" x14ac:dyDescent="0.45">
      <c r="A26" s="17" t="s">
        <v>78</v>
      </c>
    </row>
    <row r="27" spans="1:17" s="8" customFormat="1" x14ac:dyDescent="0.45">
      <c r="A27" s="8" t="s">
        <v>71</v>
      </c>
      <c r="B27" s="8" t="s">
        <v>102</v>
      </c>
      <c r="J27" s="8" t="s">
        <v>83</v>
      </c>
      <c r="K27" s="8" t="str">
        <f>J27</f>
        <v>res/Floor/textures/Floor3.dds</v>
      </c>
      <c r="L27" s="8" t="str">
        <f>J27</f>
        <v>res/Floor/textures/Floor3.dds</v>
      </c>
      <c r="M27" s="8" t="str">
        <f>J27</f>
        <v>res/Floor/textures/Floor3.dds</v>
      </c>
    </row>
    <row r="28" spans="1:17" s="8" customFormat="1" x14ac:dyDescent="0.45">
      <c r="A28" s="8" t="s">
        <v>9</v>
      </c>
      <c r="B28" s="8" t="s">
        <v>100</v>
      </c>
      <c r="J28" s="8">
        <v>2</v>
      </c>
      <c r="K28" s="8">
        <v>3</v>
      </c>
      <c r="L28" s="8">
        <v>4</v>
      </c>
      <c r="M28" s="8">
        <v>4</v>
      </c>
    </row>
    <row r="29" spans="1:17" s="8" customFormat="1" x14ac:dyDescent="0.45">
      <c r="A29" s="8">
        <v>1</v>
      </c>
      <c r="B29" s="8" t="s">
        <v>101</v>
      </c>
      <c r="J29" s="8">
        <v>2</v>
      </c>
      <c r="K29" s="8">
        <v>3</v>
      </c>
      <c r="L29" s="8">
        <v>1</v>
      </c>
      <c r="M29" s="8">
        <v>1</v>
      </c>
    </row>
    <row r="30" spans="1:17" s="8" customFormat="1" x14ac:dyDescent="0.45">
      <c r="A30" s="8" t="s">
        <v>72</v>
      </c>
      <c r="B30" s="8" t="s">
        <v>80</v>
      </c>
    </row>
    <row r="31" spans="1:17" s="8" customFormat="1" x14ac:dyDescent="0.45">
      <c r="A31" s="18" t="s">
        <v>68</v>
      </c>
    </row>
    <row r="32" spans="1:17" s="8" customFormat="1" x14ac:dyDescent="0.45">
      <c r="A32" s="8" t="s">
        <v>98</v>
      </c>
      <c r="B32" s="8" t="s">
        <v>69</v>
      </c>
      <c r="I32" s="8">
        <v>6</v>
      </c>
    </row>
    <row r="33" spans="1:9" s="8" customFormat="1" x14ac:dyDescent="0.45">
      <c r="A33" s="8" t="s">
        <v>98</v>
      </c>
      <c r="B33" s="8" t="s">
        <v>70</v>
      </c>
      <c r="I33" s="8">
        <v>3</v>
      </c>
    </row>
    <row r="34" spans="1:9" s="8" customFormat="1" x14ac:dyDescent="0.45">
      <c r="A34" s="8" t="s">
        <v>98</v>
      </c>
      <c r="B34" s="8" t="s">
        <v>97</v>
      </c>
      <c r="I34" s="8">
        <v>5</v>
      </c>
    </row>
    <row r="35" spans="1:9" x14ac:dyDescent="0.45">
      <c r="A35" s="8" t="s">
        <v>106</v>
      </c>
    </row>
    <row r="36" spans="1:9" x14ac:dyDescent="0.45">
      <c r="A36" t="s">
        <v>31</v>
      </c>
      <c r="B36" t="s">
        <v>23</v>
      </c>
      <c r="E36">
        <v>300</v>
      </c>
    </row>
    <row r="37" spans="1:9" x14ac:dyDescent="0.45">
      <c r="A37" t="s">
        <v>31</v>
      </c>
      <c r="B37" t="s">
        <v>21</v>
      </c>
      <c r="E37">
        <v>-300</v>
      </c>
    </row>
    <row r="38" spans="1:9" x14ac:dyDescent="0.45">
      <c r="A38" t="s">
        <v>32</v>
      </c>
      <c r="B38" t="s">
        <v>24</v>
      </c>
      <c r="E38">
        <v>-1200</v>
      </c>
    </row>
    <row r="39" spans="1:9" x14ac:dyDescent="0.45">
      <c r="A39" t="s">
        <v>32</v>
      </c>
      <c r="B39" t="s">
        <v>107</v>
      </c>
      <c r="E39">
        <v>0</v>
      </c>
    </row>
    <row r="40" spans="1:9" x14ac:dyDescent="0.45">
      <c r="A40" t="s">
        <v>9</v>
      </c>
      <c r="B40" t="s">
        <v>108</v>
      </c>
      <c r="E40">
        <v>450</v>
      </c>
    </row>
    <row r="41" spans="1:9" x14ac:dyDescent="0.45">
      <c r="A41" s="20" t="s">
        <v>109</v>
      </c>
    </row>
    <row r="42" spans="1:9" x14ac:dyDescent="0.45">
      <c r="A42" t="s">
        <v>71</v>
      </c>
      <c r="B42" t="s">
        <v>110</v>
      </c>
      <c r="D42" t="s">
        <v>114</v>
      </c>
    </row>
    <row r="43" spans="1:9" x14ac:dyDescent="0.45">
      <c r="A43" s="21" t="s">
        <v>111</v>
      </c>
    </row>
    <row r="44" spans="1:9" x14ac:dyDescent="0.45">
      <c r="A44" t="s">
        <v>8</v>
      </c>
      <c r="B44" t="s">
        <v>112</v>
      </c>
      <c r="F44" t="s">
        <v>113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F53DB-D3E2-4697-89AD-F8B953E0EAED}">
  <sheetPr codeName="Sheet12"/>
  <dimension ref="A1:Q45"/>
  <sheetViews>
    <sheetView topLeftCell="A13" zoomScale="85" zoomScaleNormal="85" workbookViewId="0">
      <selection activeCell="A17" sqref="A17:XFD25"/>
    </sheetView>
  </sheetViews>
  <sheetFormatPr defaultRowHeight="18" x14ac:dyDescent="0.45"/>
  <cols>
    <col min="1" max="1" width="19.59765625" customWidth="1"/>
    <col min="2" max="2" width="16" customWidth="1"/>
    <col min="3" max="6" width="12.5" customWidth="1"/>
    <col min="7" max="7" width="10.5" customWidth="1"/>
    <col min="9" max="9" width="14.5" customWidth="1"/>
    <col min="10" max="10" width="15.69921875" customWidth="1"/>
    <col min="11" max="11" width="15.09765625" customWidth="1"/>
    <col min="12" max="12" width="13.19921875" customWidth="1"/>
    <col min="13" max="13" width="11.8984375" customWidth="1"/>
  </cols>
  <sheetData>
    <row r="1" spans="1:13" s="8" customFormat="1" x14ac:dyDescent="0.45">
      <c r="A1" s="8" t="s">
        <v>6</v>
      </c>
      <c r="B1" s="8" t="s">
        <v>3</v>
      </c>
      <c r="C1" s="8" t="s">
        <v>58</v>
      </c>
      <c r="D1" s="8" t="s">
        <v>109</v>
      </c>
      <c r="E1" s="8" t="s">
        <v>106</v>
      </c>
      <c r="F1" s="8" t="s">
        <v>111</v>
      </c>
      <c r="G1" s="8" t="s">
        <v>2</v>
      </c>
      <c r="H1" s="8" t="s">
        <v>76</v>
      </c>
      <c r="I1" s="8" t="s">
        <v>67</v>
      </c>
      <c r="J1" s="8" t="s">
        <v>77</v>
      </c>
      <c r="K1" s="8" t="s">
        <v>82</v>
      </c>
      <c r="L1" s="8" t="s">
        <v>84</v>
      </c>
      <c r="M1" s="8" t="s">
        <v>85</v>
      </c>
    </row>
    <row r="2" spans="1:13" s="8" customFormat="1" x14ac:dyDescent="0.45">
      <c r="A2" s="12" t="s">
        <v>75</v>
      </c>
    </row>
    <row r="3" spans="1:13" s="8" customFormat="1" x14ac:dyDescent="0.45">
      <c r="A3" s="8" t="s">
        <v>86</v>
      </c>
      <c r="I3" s="8">
        <f>-J11+I11*3</f>
        <v>-450</v>
      </c>
      <c r="J3" s="8">
        <v>0</v>
      </c>
      <c r="K3" s="8">
        <v>0</v>
      </c>
      <c r="L3" s="8">
        <f>E38</f>
        <v>-600</v>
      </c>
      <c r="M3" s="8">
        <f>E37</f>
        <v>600</v>
      </c>
    </row>
    <row r="4" spans="1:13" s="8" customFormat="1" x14ac:dyDescent="0.45">
      <c r="A4" s="8" t="s">
        <v>87</v>
      </c>
      <c r="I4" s="8">
        <f>I12*2</f>
        <v>100</v>
      </c>
      <c r="J4" s="8">
        <v>0</v>
      </c>
      <c r="K4" s="8">
        <v>300</v>
      </c>
      <c r="L4" s="8">
        <v>100</v>
      </c>
      <c r="M4" s="8">
        <v>100</v>
      </c>
    </row>
    <row r="5" spans="1:13" s="8" customFormat="1" x14ac:dyDescent="0.45">
      <c r="A5" s="8" t="s">
        <v>88</v>
      </c>
      <c r="I5" s="8">
        <f>E39 + I13*2*(I35-1) +I13</f>
        <v>-950</v>
      </c>
      <c r="J5" s="8">
        <f>E39*0.5</f>
        <v>-600</v>
      </c>
      <c r="K5" s="8">
        <f>E39</f>
        <v>-1200</v>
      </c>
      <c r="L5" s="8">
        <f>-L11</f>
        <v>-600</v>
      </c>
      <c r="M5" s="8">
        <f>-M11</f>
        <v>-600</v>
      </c>
    </row>
    <row r="6" spans="1:13" s="16" customFormat="1" x14ac:dyDescent="0.45">
      <c r="A6" s="13" t="s">
        <v>74</v>
      </c>
      <c r="B6" s="14" t="s">
        <v>51</v>
      </c>
      <c r="C6" s="15" t="str">
        <f t="shared" ref="C6:H6" si="0">C3 &amp; " " &amp; C4 &amp; " " &amp; C5</f>
        <v xml:space="preserve">  </v>
      </c>
      <c r="D6" s="15"/>
      <c r="E6" s="15"/>
      <c r="F6" s="15"/>
      <c r="G6" s="15" t="str">
        <f t="shared" si="0"/>
        <v xml:space="preserve">  </v>
      </c>
      <c r="H6" s="15" t="str">
        <f t="shared" si="0"/>
        <v xml:space="preserve">  </v>
      </c>
      <c r="I6" s="15" t="str">
        <f>I3 &amp; " " &amp; I4 &amp; " " &amp; I5</f>
        <v>-450 100 -950</v>
      </c>
      <c r="J6" s="15" t="str">
        <f>J3 &amp; " " &amp; J4 &amp; " " &amp; J5</f>
        <v>0 0 -600</v>
      </c>
      <c r="K6" s="15" t="str">
        <f t="shared" ref="K6:M6" si="1">K3 &amp; " " &amp; K4 &amp; " " &amp; K5</f>
        <v>0 300 -1200</v>
      </c>
      <c r="L6" s="15" t="str">
        <f t="shared" si="1"/>
        <v>-600 100 -600</v>
      </c>
      <c r="M6" s="15" t="str">
        <f t="shared" si="1"/>
        <v>600 100 -600</v>
      </c>
    </row>
    <row r="7" spans="1:13" s="8" customFormat="1" x14ac:dyDescent="0.45">
      <c r="A7" s="8" t="s">
        <v>91</v>
      </c>
      <c r="J7" s="8">
        <f>MathHelper!B2 /2</f>
        <v>1.5707960000000001</v>
      </c>
      <c r="L7" s="8">
        <v>0</v>
      </c>
      <c r="M7" s="8">
        <v>0</v>
      </c>
    </row>
    <row r="8" spans="1:13" s="8" customFormat="1" x14ac:dyDescent="0.45">
      <c r="A8" s="8" t="s">
        <v>92</v>
      </c>
      <c r="J8" s="8">
        <v>0</v>
      </c>
      <c r="L8" s="8">
        <f>MathHelper!B2 /2</f>
        <v>1.5707960000000001</v>
      </c>
      <c r="M8" s="8">
        <f>MathHelper!B2 /2</f>
        <v>1.5707960000000001</v>
      </c>
    </row>
    <row r="9" spans="1:13" s="8" customFormat="1" x14ac:dyDescent="0.45">
      <c r="A9" s="8" t="s">
        <v>93</v>
      </c>
      <c r="J9" s="8">
        <v>0</v>
      </c>
      <c r="L9" s="8">
        <v>0</v>
      </c>
      <c r="M9" s="8">
        <v>0</v>
      </c>
    </row>
    <row r="10" spans="1:13" s="13" customFormat="1" x14ac:dyDescent="0.45">
      <c r="A10" s="13" t="s">
        <v>74</v>
      </c>
      <c r="B10" s="13" t="s">
        <v>103</v>
      </c>
      <c r="C10" s="13" t="str">
        <f t="shared" ref="C10:H10" si="2">C7 &amp; " " &amp; C8 &amp; " " &amp; C9</f>
        <v xml:space="preserve">  </v>
      </c>
      <c r="G10" s="13" t="str">
        <f t="shared" si="2"/>
        <v xml:space="preserve">  </v>
      </c>
      <c r="H10" s="13" t="str">
        <f t="shared" si="2"/>
        <v xml:space="preserve">  </v>
      </c>
      <c r="I10" s="13" t="str">
        <f>I7 &amp; " " &amp; I8 &amp; " " &amp; I9</f>
        <v xml:space="preserve">  </v>
      </c>
      <c r="J10" s="13" t="str">
        <f>J7 &amp; " " &amp; J8 &amp; " " &amp; J9</f>
        <v>1.570796 0 0</v>
      </c>
      <c r="K10" s="13" t="str">
        <f t="shared" ref="K10:M10" si="3">K7 &amp; " " &amp; K8 &amp; " " &amp; K9</f>
        <v xml:space="preserve">  </v>
      </c>
      <c r="L10" s="13" t="str">
        <f t="shared" si="3"/>
        <v>0 1.570796 0</v>
      </c>
      <c r="M10" s="13" t="str">
        <f t="shared" si="3"/>
        <v>0 1.570796 0</v>
      </c>
    </row>
    <row r="11" spans="1:13" s="8" customFormat="1" x14ac:dyDescent="0.45">
      <c r="A11" s="8" t="s">
        <v>94</v>
      </c>
      <c r="I11" s="8">
        <v>50</v>
      </c>
      <c r="J11" s="8">
        <v>600</v>
      </c>
      <c r="K11" s="8">
        <f>J11</f>
        <v>600</v>
      </c>
      <c r="L11" s="8">
        <f>J12</f>
        <v>600</v>
      </c>
      <c r="M11" s="8">
        <f>J12</f>
        <v>600</v>
      </c>
    </row>
    <row r="12" spans="1:13" s="8" customFormat="1" x14ac:dyDescent="0.45">
      <c r="A12" s="8" t="s">
        <v>95</v>
      </c>
      <c r="I12" s="8">
        <v>50</v>
      </c>
      <c r="J12" s="8">
        <v>600</v>
      </c>
      <c r="K12" s="8">
        <f>J11</f>
        <v>600</v>
      </c>
      <c r="L12" s="8">
        <v>100</v>
      </c>
      <c r="M12" s="8">
        <f>L12</f>
        <v>100</v>
      </c>
    </row>
    <row r="13" spans="1:13" s="8" customFormat="1" x14ac:dyDescent="0.45">
      <c r="A13" s="8" t="s">
        <v>96</v>
      </c>
      <c r="I13" s="8">
        <v>50</v>
      </c>
      <c r="J13" s="8">
        <v>1</v>
      </c>
      <c r="K13" s="8">
        <v>1</v>
      </c>
      <c r="L13" s="8">
        <v>1</v>
      </c>
      <c r="M13" s="8">
        <v>1</v>
      </c>
    </row>
    <row r="14" spans="1:13" s="13" customFormat="1" x14ac:dyDescent="0.45">
      <c r="A14" s="13" t="s">
        <v>73</v>
      </c>
      <c r="B14" s="13" t="s">
        <v>44</v>
      </c>
      <c r="C14" s="14" t="str">
        <f t="shared" ref="C14:H14" si="4">C11 &amp; " " &amp; C12 &amp; " " &amp;C13</f>
        <v xml:space="preserve">  </v>
      </c>
      <c r="D14" s="14"/>
      <c r="E14" s="14"/>
      <c r="F14" s="14"/>
      <c r="G14" s="14" t="str">
        <f t="shared" si="4"/>
        <v xml:space="preserve">  </v>
      </c>
      <c r="H14" s="14" t="str">
        <f t="shared" si="4"/>
        <v xml:space="preserve">  </v>
      </c>
      <c r="I14" s="14" t="str">
        <f>I11 &amp; " " &amp; I12 &amp; " " &amp;I13</f>
        <v>50 50 50</v>
      </c>
      <c r="J14" s="14" t="str">
        <f t="shared" ref="J14:M14" si="5">J11 &amp; " " &amp; J12 &amp; " " &amp;J13</f>
        <v>600 600 1</v>
      </c>
      <c r="K14" s="14" t="str">
        <f t="shared" si="5"/>
        <v>600 600 1</v>
      </c>
      <c r="L14" s="14" t="str">
        <f t="shared" si="5"/>
        <v>600 100 1</v>
      </c>
      <c r="M14" s="14" t="str">
        <f t="shared" si="5"/>
        <v>600 100 1</v>
      </c>
    </row>
    <row r="15" spans="1:13" s="8" customFormat="1" x14ac:dyDescent="0.45">
      <c r="A15" s="8" t="s">
        <v>99</v>
      </c>
      <c r="B15" s="8" t="s">
        <v>66</v>
      </c>
      <c r="I15" s="8">
        <f>I33*I34*I35</f>
        <v>90</v>
      </c>
    </row>
    <row r="16" spans="1:13" s="8" customFormat="1" x14ac:dyDescent="0.45"/>
    <row r="17" spans="1:17" s="8" customFormat="1" x14ac:dyDescent="0.45">
      <c r="A17" s="19"/>
    </row>
    <row r="18" spans="1:17" s="8" customFormat="1" x14ac:dyDescent="0.45">
      <c r="G18"/>
    </row>
    <row r="19" spans="1:17" s="8" customFormat="1" x14ac:dyDescent="0.45"/>
    <row r="20" spans="1:17" s="8" customFormat="1" x14ac:dyDescent="0.45"/>
    <row r="21" spans="1:17" s="25" customFormat="1" x14ac:dyDescent="0.45">
      <c r="B21" s="24"/>
    </row>
    <row r="22" spans="1:17" s="8" customFormat="1" x14ac:dyDescent="0.45"/>
    <row r="23" spans="1:17" s="8" customFormat="1" x14ac:dyDescent="0.45"/>
    <row r="24" spans="1:17" s="8" customFormat="1" x14ac:dyDescent="0.45"/>
    <row r="25" spans="1:17" s="26" customFormat="1" x14ac:dyDescent="0.45">
      <c r="A25" s="15"/>
      <c r="B25" s="14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</row>
    <row r="26" spans="1:17" s="8" customFormat="1" x14ac:dyDescent="0.45"/>
    <row r="27" spans="1:17" s="8" customFormat="1" x14ac:dyDescent="0.45">
      <c r="A27" s="17" t="s">
        <v>78</v>
      </c>
    </row>
    <row r="28" spans="1:17" s="8" customFormat="1" x14ac:dyDescent="0.45">
      <c r="A28" s="8" t="s">
        <v>71</v>
      </c>
      <c r="B28" s="8" t="s">
        <v>102</v>
      </c>
      <c r="J28" s="8" t="s">
        <v>83</v>
      </c>
      <c r="K28" s="8" t="str">
        <f>J28</f>
        <v>res/Floor/textures/Floor3.dds</v>
      </c>
      <c r="L28" s="8" t="str">
        <f>J28</f>
        <v>res/Floor/textures/Floor3.dds</v>
      </c>
      <c r="M28" s="8" t="str">
        <f>J28</f>
        <v>res/Floor/textures/Floor3.dds</v>
      </c>
    </row>
    <row r="29" spans="1:17" s="8" customFormat="1" x14ac:dyDescent="0.45">
      <c r="A29" s="8" t="s">
        <v>9</v>
      </c>
      <c r="B29" s="8" t="s">
        <v>100</v>
      </c>
      <c r="J29" s="8">
        <v>2</v>
      </c>
      <c r="K29" s="8">
        <v>3</v>
      </c>
      <c r="L29" s="8">
        <v>4</v>
      </c>
      <c r="M29" s="8">
        <v>4</v>
      </c>
    </row>
    <row r="30" spans="1:17" s="8" customFormat="1" x14ac:dyDescent="0.45">
      <c r="A30" s="8">
        <v>1</v>
      </c>
      <c r="B30" s="8" t="s">
        <v>101</v>
      </c>
      <c r="J30" s="8">
        <v>2</v>
      </c>
      <c r="K30" s="8">
        <v>3</v>
      </c>
      <c r="L30" s="8">
        <v>1</v>
      </c>
      <c r="M30" s="8">
        <v>1</v>
      </c>
    </row>
    <row r="31" spans="1:17" s="8" customFormat="1" x14ac:dyDescent="0.45">
      <c r="A31" s="8" t="s">
        <v>72</v>
      </c>
      <c r="B31" s="8" t="s">
        <v>80</v>
      </c>
    </row>
    <row r="32" spans="1:17" s="8" customFormat="1" x14ac:dyDescent="0.45">
      <c r="A32" s="18" t="s">
        <v>68</v>
      </c>
    </row>
    <row r="33" spans="1:9" s="8" customFormat="1" x14ac:dyDescent="0.45">
      <c r="A33" s="8" t="s">
        <v>98</v>
      </c>
      <c r="B33" s="8" t="s">
        <v>69</v>
      </c>
      <c r="I33" s="8">
        <v>10</v>
      </c>
    </row>
    <row r="34" spans="1:9" s="8" customFormat="1" x14ac:dyDescent="0.45">
      <c r="A34" s="8" t="s">
        <v>98</v>
      </c>
      <c r="B34" s="8" t="s">
        <v>70</v>
      </c>
      <c r="I34" s="8">
        <v>3</v>
      </c>
    </row>
    <row r="35" spans="1:9" s="8" customFormat="1" x14ac:dyDescent="0.45">
      <c r="A35" s="8" t="s">
        <v>98</v>
      </c>
      <c r="B35" s="8" t="s">
        <v>97</v>
      </c>
      <c r="I35" s="8">
        <v>3</v>
      </c>
    </row>
    <row r="36" spans="1:9" x14ac:dyDescent="0.45">
      <c r="A36" s="8" t="s">
        <v>106</v>
      </c>
    </row>
    <row r="37" spans="1:9" x14ac:dyDescent="0.45">
      <c r="A37" t="s">
        <v>31</v>
      </c>
      <c r="B37" t="s">
        <v>23</v>
      </c>
      <c r="E37">
        <v>600</v>
      </c>
    </row>
    <row r="38" spans="1:9" x14ac:dyDescent="0.45">
      <c r="A38" t="s">
        <v>31</v>
      </c>
      <c r="B38" t="s">
        <v>21</v>
      </c>
      <c r="E38">
        <v>-600</v>
      </c>
    </row>
    <row r="39" spans="1:9" x14ac:dyDescent="0.45">
      <c r="A39" t="s">
        <v>32</v>
      </c>
      <c r="B39" t="s">
        <v>24</v>
      </c>
      <c r="E39">
        <v>-1200</v>
      </c>
    </row>
    <row r="40" spans="1:9" x14ac:dyDescent="0.45">
      <c r="A40" t="s">
        <v>32</v>
      </c>
      <c r="B40" t="s">
        <v>107</v>
      </c>
      <c r="E40">
        <v>0</v>
      </c>
    </row>
    <row r="41" spans="1:9" x14ac:dyDescent="0.45">
      <c r="A41" t="s">
        <v>9</v>
      </c>
      <c r="B41" t="s">
        <v>108</v>
      </c>
      <c r="E41">
        <v>450</v>
      </c>
    </row>
    <row r="42" spans="1:9" x14ac:dyDescent="0.45">
      <c r="A42" s="20" t="s">
        <v>109</v>
      </c>
    </row>
    <row r="43" spans="1:9" x14ac:dyDescent="0.45">
      <c r="A43" t="s">
        <v>71</v>
      </c>
      <c r="B43" t="s">
        <v>110</v>
      </c>
      <c r="D43" t="s">
        <v>114</v>
      </c>
    </row>
    <row r="44" spans="1:9" x14ac:dyDescent="0.45">
      <c r="A44" s="21" t="s">
        <v>111</v>
      </c>
    </row>
    <row r="45" spans="1:9" x14ac:dyDescent="0.45">
      <c r="A45" t="s">
        <v>8</v>
      </c>
      <c r="B45" t="s">
        <v>112</v>
      </c>
      <c r="F45" t="s">
        <v>113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619B2-E7A9-482E-96CD-1681F20E579E}">
  <sheetPr codeName="Sheet5"/>
  <dimension ref="A1:C13"/>
  <sheetViews>
    <sheetView workbookViewId="0">
      <selection activeCell="K10" sqref="K10"/>
    </sheetView>
  </sheetViews>
  <sheetFormatPr defaultRowHeight="18" x14ac:dyDescent="0.45"/>
  <sheetData>
    <row r="1" spans="1:3" x14ac:dyDescent="0.45">
      <c r="A1" t="s">
        <v>45</v>
      </c>
      <c r="B1" t="s">
        <v>46</v>
      </c>
      <c r="C1" t="s">
        <v>47</v>
      </c>
    </row>
    <row r="2" spans="1:3" x14ac:dyDescent="0.45">
      <c r="A2" s="7">
        <v>46175</v>
      </c>
      <c r="B2" t="s">
        <v>48</v>
      </c>
      <c r="C2" t="s">
        <v>81</v>
      </c>
    </row>
    <row r="3" spans="1:3" x14ac:dyDescent="0.45">
      <c r="A3" s="7">
        <v>46176</v>
      </c>
      <c r="B3" t="s">
        <v>89</v>
      </c>
      <c r="C3" t="s">
        <v>90</v>
      </c>
    </row>
    <row r="4" spans="1:3" x14ac:dyDescent="0.45">
      <c r="A4" s="7">
        <v>46310</v>
      </c>
      <c r="B4" t="s">
        <v>122</v>
      </c>
      <c r="C4" t="s">
        <v>123</v>
      </c>
    </row>
    <row r="5" spans="1:3" x14ac:dyDescent="0.45">
      <c r="A5" s="7">
        <v>46190</v>
      </c>
      <c r="B5" t="s">
        <v>104</v>
      </c>
      <c r="C5" t="s">
        <v>105</v>
      </c>
    </row>
    <row r="6" spans="1:3" x14ac:dyDescent="0.45">
      <c r="A6" s="7">
        <v>46190</v>
      </c>
      <c r="B6" t="s">
        <v>49</v>
      </c>
      <c r="C6" t="s">
        <v>65</v>
      </c>
    </row>
    <row r="7" spans="1:3" x14ac:dyDescent="0.45">
      <c r="A7" s="7">
        <v>46310</v>
      </c>
      <c r="B7" t="s">
        <v>147</v>
      </c>
      <c r="C7" t="s">
        <v>148</v>
      </c>
    </row>
    <row r="8" spans="1:3" x14ac:dyDescent="0.45">
      <c r="A8" s="7">
        <v>46310</v>
      </c>
      <c r="B8" t="s">
        <v>149</v>
      </c>
      <c r="C8" t="s">
        <v>150</v>
      </c>
    </row>
    <row r="9" spans="1:3" x14ac:dyDescent="0.45">
      <c r="A9" s="7">
        <v>46310</v>
      </c>
      <c r="B9" t="s">
        <v>151</v>
      </c>
      <c r="C9" t="s">
        <v>152</v>
      </c>
    </row>
    <row r="10" spans="1:3" x14ac:dyDescent="0.45">
      <c r="A10" s="7">
        <v>46322</v>
      </c>
      <c r="B10" t="s">
        <v>156</v>
      </c>
      <c r="C10" t="s">
        <v>157</v>
      </c>
    </row>
    <row r="11" spans="1:3" x14ac:dyDescent="0.45">
      <c r="A11" s="7"/>
    </row>
    <row r="12" spans="1:3" x14ac:dyDescent="0.45">
      <c r="A12" s="7"/>
    </row>
    <row r="13" spans="1:3" x14ac:dyDescent="0.45">
      <c r="A13" s="7"/>
    </row>
  </sheetData>
  <sheetProtection sheet="1" objects="1" scenarios="1"/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OBR2BPKO5GVJKBQVV5CIMGS3DYDE2NEN:ms-officescript%3A%2F%2Fonedrive_business_sharinglink%2Fu!aHR0cHM6Ly9jbGVhZ3VlLW15LnNoYXJlcG9pbnQuY29tLzp1Oi9nL3BlcnNvbmFsL2tzcy0yNDEyMDI3NV9uc2djbF9qcC9JUUJPNmFxVkJoV3ZSSVlhV3g0R1RUU05BU19yX1Jxc0N4SkJZQUppYVBCaWhxSQ"/>
</scriptIds>
</file>

<file path=customXml/itemProps1.xml><?xml version="1.0" encoding="utf-8"?>
<ds:datastoreItem xmlns:ds="http://schemas.openxmlformats.org/officeDocument/2006/customXml" ds:itemID="{82845694-A703-4FD1-9158-AADF42583F42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使い方</vt:lpstr>
      <vt:lpstr>MathHelper</vt:lpstr>
      <vt:lpstr>GroundData</vt:lpstr>
      <vt:lpstr>GameScene3</vt:lpstr>
      <vt:lpstr>GameScene</vt:lpstr>
      <vt:lpstr>GameScene2</vt:lpstr>
      <vt:lpstr>ExportLog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土橋 和牧(kss-24120275)</dc:creator>
  <cp:lastModifiedBy>土橋 和牧(kss-24120275)</cp:lastModifiedBy>
  <dcterms:created xsi:type="dcterms:W3CDTF">2026-05-30T05:05:21Z</dcterms:created>
  <dcterms:modified xsi:type="dcterms:W3CDTF">2026-10-27T08:10:22Z</dcterms:modified>
</cp:coreProperties>
</file>