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irectX12\source\Direct3D_Guide\Direct3D_Guide\Framework_DirectX\dataTable\"/>
    </mc:Choice>
  </mc:AlternateContent>
  <xr:revisionPtr revIDLastSave="0" documentId="13_ncr:1_{C0F0974A-9C3B-4F81-AFE8-C067EC1BDCA6}" xr6:coauthVersionLast="47" xr6:coauthVersionMax="47" xr10:uidLastSave="{00000000-0000-0000-0000-000000000000}"/>
  <bookViews>
    <workbookView xWindow="-108" yWindow="-108" windowWidth="23256" windowHeight="12456" tabRatio="674" firstSheet="1" activeTab="4" xr2:uid="{5DAA5D6F-955D-411F-ACD6-06A3E003CAA4}"/>
  </bookViews>
  <sheets>
    <sheet name="使い方" sheetId="6" r:id="rId1"/>
    <sheet name="Player" sheetId="1" r:id="rId2"/>
    <sheet name="PlayersObj" sheetId="8" r:id="rId3"/>
    <sheet name="PlayerHelper" sheetId="2" r:id="rId4"/>
    <sheet name="Ball" sheetId="3" r:id="rId5"/>
    <sheet name="Bat" sheetId="7" r:id="rId6"/>
    <sheet name="ClearItem" sheetId="9" r:id="rId7"/>
    <sheet name="ExportLog" sheetId="5" r:id="rId8"/>
  </sheets>
  <functionGroups builtInGroupCount="19"/>
  <externalReferences>
    <externalReference r:id="rId9"/>
  </externalReferences>
  <definedNames>
    <definedName name="_xleta.PI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2" i="9" l="1"/>
  <c r="C8" i="9"/>
  <c r="C16" i="1" l="1"/>
  <c r="C15" i="1"/>
  <c r="C34" i="1"/>
  <c r="B69" i="1"/>
  <c r="B68" i="1"/>
  <c r="B67" i="1"/>
  <c r="B65" i="1"/>
  <c r="B64" i="1"/>
  <c r="B63" i="1"/>
  <c r="B20" i="7"/>
  <c r="B19" i="7"/>
  <c r="B18" i="7"/>
  <c r="B16" i="7"/>
  <c r="B15" i="7"/>
  <c r="B14" i="7"/>
  <c r="B12" i="7"/>
  <c r="B11" i="7"/>
  <c r="B10" i="7"/>
  <c r="B61" i="1" l="1"/>
  <c r="B60" i="1"/>
  <c r="B59" i="1"/>
  <c r="B57" i="1"/>
  <c r="B56" i="1"/>
  <c r="B55" i="1"/>
  <c r="B53" i="1"/>
  <c r="B52" i="1"/>
  <c r="B51" i="1"/>
  <c r="B49" i="1"/>
  <c r="B48" i="1"/>
  <c r="B47" i="1"/>
  <c r="B45" i="1"/>
  <c r="B44" i="1"/>
  <c r="B43" i="1"/>
  <c r="B41" i="1"/>
  <c r="B40" i="1"/>
  <c r="B39" i="1"/>
  <c r="C4" i="1" l="1"/>
  <c r="C6" i="1" l="1"/>
  <c r="C5" i="1" l="1"/>
  <c r="C13" i="1" l="1"/>
  <c r="F18" i="6" l="1"/>
  <c r="F17" i="6"/>
  <c r="F10" i="6"/>
  <c r="F9" i="6"/>
  <c r="F8" i="6"/>
</calcChain>
</file>

<file path=xl/sharedStrings.xml><?xml version="1.0" encoding="utf-8"?>
<sst xmlns="http://schemas.openxmlformats.org/spreadsheetml/2006/main" count="387" uniqueCount="239">
  <si>
    <t>uint32_t</t>
    <phoneticPr fontId="1"/>
  </si>
  <si>
    <t>SE_SHOT</t>
    <phoneticPr fontId="1"/>
  </si>
  <si>
    <t>wstring</t>
    <phoneticPr fontId="1"/>
  </si>
  <si>
    <t>Sound</t>
    <phoneticPr fontId="1"/>
  </si>
  <si>
    <t>AIM_LIMIT_DOWN</t>
  </si>
  <si>
    <t>float</t>
    <phoneticPr fontId="1"/>
  </si>
  <si>
    <t>AIM_LIMIT_TOP</t>
    <phoneticPr fontId="1"/>
  </si>
  <si>
    <t>AIM_LIMIT_LEFT</t>
    <phoneticPr fontId="1"/>
  </si>
  <si>
    <t>AIM_LIMIT_RIGHT</t>
    <phoneticPr fontId="1"/>
  </si>
  <si>
    <t>AIM_SPEED</t>
  </si>
  <si>
    <t>INIT_TARGET_POS</t>
  </si>
  <si>
    <t>float3</t>
    <phoneticPr fontId="1"/>
  </si>
  <si>
    <t>AimParam</t>
    <phoneticPr fontId="1"/>
  </si>
  <si>
    <t>JUMP_SPEED_Y</t>
    <phoneticPr fontId="1"/>
  </si>
  <si>
    <t xml:space="preserve">float </t>
    <phoneticPr fontId="1"/>
  </si>
  <si>
    <t>MOVE_SPEED_Z</t>
    <phoneticPr fontId="1"/>
  </si>
  <si>
    <t>MOVE_SPEED_X</t>
    <phoneticPr fontId="1"/>
  </si>
  <si>
    <t>MoveParam</t>
    <phoneticPr fontId="1"/>
  </si>
  <si>
    <t>LAUNCH_FORCE</t>
    <phoneticPr fontId="1"/>
  </si>
  <si>
    <t>RACKET_RELATIVEPOS_TOP</t>
  </si>
  <si>
    <t>RACKET_RELATIVEPOS_LEFT</t>
  </si>
  <si>
    <t>RACKET_RELATIVEPOS_RIGHT</t>
    <phoneticPr fontId="1"/>
  </si>
  <si>
    <t>RACKET_SCALE</t>
    <phoneticPr fontId="1"/>
  </si>
  <si>
    <t>RacketParam</t>
    <phoneticPr fontId="1"/>
  </si>
  <si>
    <t>Player</t>
    <phoneticPr fontId="1"/>
  </si>
  <si>
    <t>name</t>
    <phoneticPr fontId="1"/>
  </si>
  <si>
    <t>variable type</t>
    <phoneticPr fontId="1"/>
  </si>
  <si>
    <t>Size</t>
    <phoneticPr fontId="1"/>
  </si>
  <si>
    <t>RacketHeight</t>
    <phoneticPr fontId="1"/>
  </si>
  <si>
    <t>RacketOffsetX</t>
    <phoneticPr fontId="1"/>
  </si>
  <si>
    <t>PlayerParamHelper</t>
    <phoneticPr fontId="1"/>
  </si>
  <si>
    <t>FRONT_HIT_VERTICAL_DAMPING</t>
    <phoneticPr fontId="1"/>
  </si>
  <si>
    <t>float（反発係数)</t>
    <rPh sb="6" eb="10">
      <t>ハンパツケイスウ</t>
    </rPh>
    <phoneticPr fontId="1"/>
  </si>
  <si>
    <t>COR_BLOCK</t>
    <phoneticPr fontId="1"/>
  </si>
  <si>
    <t>COR_WALL</t>
    <phoneticPr fontId="1"/>
  </si>
  <si>
    <t xml:space="preserve"> </t>
    <phoneticPr fontId="1"/>
  </si>
  <si>
    <t>IGNORE_GRAVITY_HEIGHT</t>
    <phoneticPr fontId="1"/>
  </si>
  <si>
    <t>GRAVITY</t>
    <phoneticPr fontId="1"/>
  </si>
  <si>
    <t>float(重力加速度)</t>
    <rPh sb="6" eb="11">
      <t>ジュウリョクカソクド</t>
    </rPh>
    <phoneticPr fontId="1"/>
  </si>
  <si>
    <t>SPEED_MIN</t>
    <phoneticPr fontId="1"/>
  </si>
  <si>
    <t>DEFAULT_TIME_SCALE</t>
    <phoneticPr fontId="1"/>
  </si>
  <si>
    <t>double</t>
    <phoneticPr fontId="1"/>
  </si>
  <si>
    <t>Physics</t>
    <phoneticPr fontId="1"/>
  </si>
  <si>
    <t>Ball</t>
    <phoneticPr fontId="1"/>
  </si>
  <si>
    <t>日付</t>
  </si>
  <si>
    <t>シート名</t>
  </si>
  <si>
    <t>ファイル名</t>
  </si>
  <si>
    <t>D:\DirectX12\source\Direct3D_Guide\Direct3D_Guide\Framework_DirectX\dataTable\player.json</t>
    <phoneticPr fontId="1"/>
  </si>
  <si>
    <t>D:\DirectX12\source\Direct3D_Guide\Direct3D_Guide\Framework_DirectX\dataTable\Ball.json</t>
    <phoneticPr fontId="1"/>
  </si>
  <si>
    <t>Block</t>
    <phoneticPr fontId="1"/>
  </si>
  <si>
    <t>D:\DirectX12\source\Direct3D_Guide\Direct3D_Guide\Framework_DirectX\dataTable\Block.json</t>
    <phoneticPr fontId="1"/>
  </si>
  <si>
    <t>BlockWall</t>
  </si>
  <si>
    <t>D:\DirectX12\source\Direct3D_Guide\Direct3D_Guide\Framework_DirectX\dataTable\BlockWall.json</t>
  </si>
  <si>
    <t>・alt + F8で実行。VBAの編集はalt + F11
・保存先、ファイル名だけ指定。
保存時のファイル形式は無視されるので、なんでもよい。</t>
    <rPh sb="10" eb="12">
      <t>ジッコウ</t>
    </rPh>
    <rPh sb="17" eb="19">
      <t>ヘンシュウ</t>
    </rPh>
    <rPh sb="31" eb="34">
      <t>ホゾンサキ</t>
    </rPh>
    <rPh sb="39" eb="40">
      <t>メイ</t>
    </rPh>
    <rPh sb="42" eb="44">
      <t>シテイ</t>
    </rPh>
    <rPh sb="46" eb="48">
      <t>ホゾン</t>
    </rPh>
    <rPh sb="48" eb="49">
      <t>ジ</t>
    </rPh>
    <rPh sb="54" eb="56">
      <t>ケイシキ</t>
    </rPh>
    <rPh sb="57" eb="59">
      <t>ムシ</t>
    </rPh>
    <phoneticPr fontId="1"/>
  </si>
  <si>
    <t>・一番左の列はメモ欄で読み込まれない。
・メモ欄のみは無視されるので、区切りとして使ってもよい。</t>
    <rPh sb="1" eb="4">
      <t>イチバンヒダリ</t>
    </rPh>
    <rPh sb="5" eb="6">
      <t>レツ</t>
    </rPh>
    <rPh sb="9" eb="10">
      <t>ラン</t>
    </rPh>
    <rPh sb="11" eb="12">
      <t>ヨ</t>
    </rPh>
    <rPh sb="13" eb="14">
      <t>コ</t>
    </rPh>
    <rPh sb="23" eb="24">
      <t>ラン</t>
    </rPh>
    <rPh sb="27" eb="29">
      <t>ムシ</t>
    </rPh>
    <rPh sb="35" eb="37">
      <t>クギ</t>
    </rPh>
    <rPh sb="41" eb="42">
      <t>ツカ</t>
    </rPh>
    <phoneticPr fontId="1"/>
  </si>
  <si>
    <t>入力例:単体データ</t>
    <rPh sb="0" eb="3">
      <t>ニュウリョクレイ</t>
    </rPh>
    <rPh sb="4" eb="6">
      <t>タンタイ</t>
    </rPh>
    <phoneticPr fontId="1"/>
  </si>
  <si>
    <t>入力方法</t>
    <rPh sb="0" eb="4">
      <t>ニュウリョクホウホウ</t>
    </rPh>
    <phoneticPr fontId="1"/>
  </si>
  <si>
    <t>float =&gt; 1.0 (末尾のfはいらない.小数点も省略可)</t>
    <rPh sb="14" eb="16">
      <t>マツビ</t>
    </rPh>
    <rPh sb="24" eb="27">
      <t>ショウスウテン</t>
    </rPh>
    <rPh sb="28" eb="31">
      <t>ショウリャクカ</t>
    </rPh>
    <phoneticPr fontId="1"/>
  </si>
  <si>
    <t>float3 =&gt; 1.0 1.0 1.0 (空白区切り)</t>
    <rPh sb="23" eb="27">
      <t>クウハククギ</t>
    </rPh>
    <phoneticPr fontId="1"/>
  </si>
  <si>
    <t>racketHeight</t>
    <phoneticPr fontId="1"/>
  </si>
  <si>
    <t>　式でやりたいとき右のようにする。(=100 &amp; " " &amp; C2+50 &amp; " " &amp; C2)</t>
    <rPh sb="1" eb="2">
      <t>シキ</t>
    </rPh>
    <rPh sb="9" eb="10">
      <t>ミギ</t>
    </rPh>
    <phoneticPr fontId="1"/>
  </si>
  <si>
    <t>racketRightPos</t>
    <phoneticPr fontId="1"/>
  </si>
  <si>
    <t>bool =&gt; true/false</t>
    <phoneticPr fontId="1"/>
  </si>
  <si>
    <t>racketLeftPos</t>
    <phoneticPr fontId="1"/>
  </si>
  <si>
    <t>racketTopPos</t>
    <phoneticPr fontId="1"/>
  </si>
  <si>
    <t>　別シートのコピーはSheetName!A1 など</t>
    <rPh sb="1" eb="2">
      <t>ベツ</t>
    </rPh>
    <phoneticPr fontId="1"/>
  </si>
  <si>
    <t>moveSpeedX</t>
    <phoneticPr fontId="1"/>
  </si>
  <si>
    <t>moveSpeedY</t>
    <phoneticPr fontId="1"/>
  </si>
  <si>
    <t>jumpVelocity</t>
    <phoneticPr fontId="1"/>
  </si>
  <si>
    <t>aimSpeed</t>
    <phoneticPr fontId="1"/>
  </si>
  <si>
    <t>aimLimitRight</t>
    <phoneticPr fontId="1"/>
  </si>
  <si>
    <t>aimLimitLeft</t>
    <phoneticPr fontId="1"/>
  </si>
  <si>
    <t>aimLimitTop</t>
    <phoneticPr fontId="1"/>
  </si>
  <si>
    <t>aimLimitDown</t>
    <phoneticPr fontId="1"/>
  </si>
  <si>
    <t>MeshData</t>
    <phoneticPr fontId="1"/>
  </si>
  <si>
    <t>string</t>
    <phoneticPr fontId="1"/>
  </si>
  <si>
    <t>meshPath</t>
    <phoneticPr fontId="1"/>
  </si>
  <si>
    <t>res/Ski/Ch20_nonPBR.fbx</t>
    <phoneticPr fontId="1"/>
  </si>
  <si>
    <t>1 1.3 1</t>
    <phoneticPr fontId="1"/>
  </si>
  <si>
    <t>PlayerState</t>
    <phoneticPr fontId="1"/>
  </si>
  <si>
    <t>HIT_RESPONSE_TIME_SCALE</t>
    <phoneticPr fontId="1"/>
  </si>
  <si>
    <t>JUMP_CANCEL_FRAME</t>
    <phoneticPr fontId="1"/>
  </si>
  <si>
    <t xml:space="preserve">double </t>
    <phoneticPr fontId="1"/>
  </si>
  <si>
    <t>SWING_CANCEL_FRAME</t>
    <phoneticPr fontId="1"/>
  </si>
  <si>
    <t>State</t>
    <phoneticPr fontId="1"/>
  </si>
  <si>
    <t>MOVE_SPEED</t>
    <phoneticPr fontId="1"/>
  </si>
  <si>
    <t>SPAWN_TIME</t>
    <phoneticPr fontId="1"/>
  </si>
  <si>
    <t>ATTACK_INTRVAL</t>
    <phoneticPr fontId="1"/>
  </si>
  <si>
    <t>DESPAWN_TIME</t>
    <phoneticPr fontId="1"/>
  </si>
  <si>
    <t>BORN_OFFSET_POSY</t>
    <phoneticPr fontId="1"/>
  </si>
  <si>
    <t>BORN_OFFSET_ROTX</t>
    <phoneticPr fontId="1"/>
  </si>
  <si>
    <t>Animation</t>
    <phoneticPr fontId="1"/>
  </si>
  <si>
    <t>wstring</t>
  </si>
  <si>
    <t>bool</t>
    <phoneticPr fontId="1"/>
  </si>
  <si>
    <t>res/Animation/Player/Idle.fbx</t>
  </si>
  <si>
    <t>res/Animation/Player/Run.fbx</t>
  </si>
  <si>
    <t>SWING</t>
    <phoneticPr fontId="1"/>
  </si>
  <si>
    <t>IDLE</t>
    <phoneticPr fontId="1"/>
  </si>
  <si>
    <t>RUN</t>
    <phoneticPr fontId="1"/>
  </si>
  <si>
    <t>res/Animation/Player/Swing.fbx</t>
  </si>
  <si>
    <t>SMASH</t>
    <phoneticPr fontId="1"/>
  </si>
  <si>
    <t>res/Animation/Player/Smash.fbx</t>
    <phoneticPr fontId="1"/>
  </si>
  <si>
    <t>JUMP</t>
    <phoneticPr fontId="1"/>
  </si>
  <si>
    <t>res/Animation/Player/Jump.fbx</t>
    <phoneticPr fontId="1"/>
  </si>
  <si>
    <t>HIT_RES</t>
    <phoneticPr fontId="1"/>
  </si>
  <si>
    <t>res/Animation/Player/HitResponse.fbx</t>
    <phoneticPr fontId="1"/>
  </si>
  <si>
    <t>RACKET_MESH_PATH</t>
  </si>
  <si>
    <t>res/Mesh/Player/Racket.fbx</t>
  </si>
  <si>
    <t>res/Textures/Player/Racket.dds</t>
  </si>
  <si>
    <t>RACKET_SCALE</t>
  </si>
  <si>
    <t>float</t>
  </si>
  <si>
    <t>res/Textures/Player/String.dds</t>
  </si>
  <si>
    <t>GUT_PATH</t>
  </si>
  <si>
    <t>GUT_TILING_X</t>
  </si>
  <si>
    <t>GUT_TILING_Y</t>
  </si>
  <si>
    <t>res/Textures/Effect/Box.dds</t>
  </si>
  <si>
    <t>float3</t>
  </si>
  <si>
    <t>0 0.08 -0.04</t>
  </si>
  <si>
    <t>RACKET_OFFSET_POS</t>
  </si>
  <si>
    <t>RACKET_OFFSET_ROT</t>
  </si>
  <si>
    <t>1.63 1.98 0</t>
  </si>
  <si>
    <t>1 1.3 1</t>
  </si>
  <si>
    <t>RACKET_RELATIVEPOS_RIGHT</t>
  </si>
  <si>
    <t>-1 1.3 0.5</t>
  </si>
  <si>
    <t>0 2.8 0.5</t>
  </si>
  <si>
    <t>LAUNCH_FORCE</t>
  </si>
  <si>
    <t>RACKET_OFFSET_SCALE</t>
  </si>
  <si>
    <t>GUT_POS</t>
  </si>
  <si>
    <t>4 0 115</t>
  </si>
  <si>
    <t>GUT_ROT</t>
  </si>
  <si>
    <t>1.57 0 0</t>
  </si>
  <si>
    <t>GUT_SCALE</t>
  </si>
  <si>
    <t>30 45 0</t>
  </si>
  <si>
    <t>EFFECT_TEXT_PATH</t>
  </si>
  <si>
    <t>SHOW_START</t>
  </si>
  <si>
    <t>SHOW_END</t>
  </si>
  <si>
    <t>double</t>
  </si>
  <si>
    <t>HIT_EFFECT_TIME</t>
  </si>
  <si>
    <t>BODY_POS</t>
  </si>
  <si>
    <t>0 0 0</t>
  </si>
  <si>
    <t>BODY_SCALE</t>
  </si>
  <si>
    <t>0.3 0.7 0.3</t>
  </si>
  <si>
    <t>BALL_CASE_MESH</t>
  </si>
  <si>
    <t>res/Mesh/Player/BallCase3.fbx</t>
  </si>
  <si>
    <t>BALL_CASE_TEXT</t>
  </si>
  <si>
    <t>res/Textures/Player/BallCaseA50.dds</t>
  </si>
  <si>
    <t>BALL_CASE_POS</t>
  </si>
  <si>
    <t>0 0.05 0.2</t>
  </si>
  <si>
    <t>BALL_CASE_SCALE</t>
  </si>
  <si>
    <t>0.001 0.003 0.001</t>
  </si>
  <si>
    <t>BAT_FLYING</t>
  </si>
  <si>
    <t>res/Animation/Enemy/Bat/Flying.fbx</t>
  </si>
  <si>
    <t>BAT_DEATH</t>
  </si>
  <si>
    <t>res/Animation/Enemy/Bat/Death.fbx</t>
  </si>
  <si>
    <t>BAT_ATTACK</t>
  </si>
  <si>
    <t>res/Animation/Enemy/Bat/Attack.fbx</t>
  </si>
  <si>
    <t>BAT_SCALE</t>
  </si>
  <si>
    <t>BAT_ROT</t>
  </si>
  <si>
    <t>-1.57 0 0</t>
  </si>
  <si>
    <t>BAT_MESH</t>
  </si>
  <si>
    <t>res/Mesh/Enemy/Bat/Bat.fbx</t>
  </si>
  <si>
    <t>BAT_COLLIDER_POS</t>
  </si>
  <si>
    <t>0 -0.1 0</t>
  </si>
  <si>
    <t>BAT_COLLIDER_ROT</t>
  </si>
  <si>
    <t>BAT_COLLIDER_SCALE</t>
  </si>
  <si>
    <t>Bat</t>
    <phoneticPr fontId="1"/>
  </si>
  <si>
    <t>D:\DirectX12\source\Direct3D_Guide\Direct3D_Guide\Framework_DirectX\dataTable\Bat.json</t>
    <phoneticPr fontId="1"/>
  </si>
  <si>
    <t>Bat</t>
    <phoneticPr fontId="1"/>
  </si>
  <si>
    <t>1 1 1</t>
    <phoneticPr fontId="1"/>
  </si>
  <si>
    <t>LUNCH_FORCE</t>
    <phoneticPr fontId="1"/>
  </si>
  <si>
    <t>JUMP_CANCEL_BONUS</t>
    <phoneticPr fontId="1"/>
  </si>
  <si>
    <t>TAKE_BACK_TIME</t>
    <phoneticPr fontId="1"/>
  </si>
  <si>
    <t>Mesh</t>
    <phoneticPr fontId="1"/>
  </si>
  <si>
    <t>PLAYER_MESH</t>
    <phoneticPr fontId="1"/>
  </si>
  <si>
    <t>res/Mesh/Player/Vanguard.fbx</t>
    <phoneticPr fontId="1"/>
  </si>
  <si>
    <t>DANCE</t>
    <phoneticPr fontId="1"/>
  </si>
  <si>
    <t>res/Animation/Player/DancingRunning.fbx</t>
    <phoneticPr fontId="1"/>
  </si>
  <si>
    <t>GAME_OVER</t>
    <phoneticPr fontId="1"/>
  </si>
  <si>
    <t>res/Animation/Player/GameOver.fbx</t>
    <phoneticPr fontId="1"/>
  </si>
  <si>
    <t>CAN_AIM_DISTANCE</t>
    <phoneticPr fontId="1"/>
  </si>
  <si>
    <t>float(距離の二乗)</t>
    <rPh sb="6" eb="8">
      <t>キョリ</t>
    </rPh>
    <rPh sb="9" eb="11">
      <t>ジジョウ</t>
    </rPh>
    <phoneticPr fontId="1"/>
  </si>
  <si>
    <t>variable type</t>
  </si>
  <si>
    <t>name</t>
  </si>
  <si>
    <t>RacketParam</t>
  </si>
  <si>
    <t>RACKET_TEXT_PATH</t>
  </si>
  <si>
    <t>EFFECT_PATH</t>
  </si>
  <si>
    <t>res/Textures/Effect/Box.dst</t>
  </si>
  <si>
    <t>BodyCollider</t>
    <phoneticPr fontId="1"/>
  </si>
  <si>
    <t>BallCase</t>
    <phoneticPr fontId="1"/>
  </si>
  <si>
    <t>PlayersObj</t>
    <phoneticPr fontId="1"/>
  </si>
  <si>
    <t>D:\DirectX12\source\Direct3D_Guide\Direct3D_Guide\Framework_DirectX\dataTable\PlayersObj.json</t>
    <phoneticPr fontId="1"/>
  </si>
  <si>
    <t>LAUNCH_CORRECTION_START_Z</t>
  </si>
  <si>
    <t>LAUNCH_MIN_RATIO</t>
  </si>
  <si>
    <t>BALL_STOCK_SCALE</t>
  </si>
  <si>
    <t>90 30 90</t>
  </si>
  <si>
    <t>SE_JUMP</t>
    <phoneticPr fontId="1"/>
  </si>
  <si>
    <t>SE_SPLIT_STEP</t>
    <phoneticPr fontId="1"/>
  </si>
  <si>
    <t>SE_DAMAGE</t>
    <phoneticPr fontId="1"/>
  </si>
  <si>
    <t>res/sound/Player/SE_Jump.wav</t>
    <phoneticPr fontId="1"/>
  </si>
  <si>
    <t>res/sound/Player/SE_SplitStep.wav</t>
    <phoneticPr fontId="1"/>
  </si>
  <si>
    <t>res/sound/Player/SE_PlayerDamage.wav</t>
    <phoneticPr fontId="1"/>
  </si>
  <si>
    <t>SE_ATTACK</t>
    <phoneticPr fontId="1"/>
  </si>
  <si>
    <t>SE_DEAD</t>
    <phoneticPr fontId="1"/>
  </si>
  <si>
    <t>res/sound/Enemy/SE_EnemyAttack.wav</t>
    <phoneticPr fontId="1"/>
  </si>
  <si>
    <t>res/sound/Enemy/SE_EnemyDead.wav</t>
    <phoneticPr fontId="1"/>
  </si>
  <si>
    <t>ClearItem</t>
    <phoneticPr fontId="1"/>
  </si>
  <si>
    <t>SE_SPAWN</t>
    <phoneticPr fontId="1"/>
  </si>
  <si>
    <t>res/sound/Item/SE_ItemSpawn.wav</t>
    <phoneticPr fontId="1"/>
  </si>
  <si>
    <t>res/Mesh/Item/Crown1.fbx</t>
    <phoneticPr fontId="1"/>
  </si>
  <si>
    <t>VOL_SHOT</t>
    <phoneticPr fontId="1"/>
  </si>
  <si>
    <t>VOL_JUMP</t>
    <phoneticPr fontId="1"/>
  </si>
  <si>
    <t>VOL_SPLIT_STEP</t>
    <phoneticPr fontId="1"/>
  </si>
  <si>
    <t>VOL_DAMAGE</t>
    <phoneticPr fontId="1"/>
  </si>
  <si>
    <t>VOL_ATTACK</t>
    <phoneticPr fontId="1"/>
  </si>
  <si>
    <t>VOL_DEAD</t>
    <phoneticPr fontId="1"/>
  </si>
  <si>
    <t>CLEAR_ITEM_MESH</t>
    <phoneticPr fontId="1"/>
  </si>
  <si>
    <t>VOL_SPAWN</t>
    <phoneticPr fontId="1"/>
  </si>
  <si>
    <t>SE_GAIN</t>
    <phoneticPr fontId="1"/>
  </si>
  <si>
    <t>VOL_GAIN</t>
    <phoneticPr fontId="1"/>
  </si>
  <si>
    <t>TestScene</t>
    <phoneticPr fontId="1"/>
  </si>
  <si>
    <t>D:\DirectX12\source\Direct3D_Guide\Direct3D_Guide\Framework_DirectX\dataTable\TestScene.json</t>
    <phoneticPr fontId="1"/>
  </si>
  <si>
    <t>res/sound/Item/SE_ItemGain.wav</t>
    <phoneticPr fontId="1"/>
  </si>
  <si>
    <t>D:\DirectX12\source\Direct3D_Guide\Direct3D_Guide\Framework_DirectX\dataTable\ClearItem.json</t>
    <phoneticPr fontId="1"/>
  </si>
  <si>
    <t>ColliderOffset</t>
    <phoneticPr fontId="1"/>
  </si>
  <si>
    <t>COL_OFFSET_POS</t>
    <phoneticPr fontId="1"/>
  </si>
  <si>
    <t>posX</t>
    <phoneticPr fontId="1"/>
  </si>
  <si>
    <t>posY</t>
    <phoneticPr fontId="1"/>
  </si>
  <si>
    <t>posZ</t>
    <phoneticPr fontId="1"/>
  </si>
  <si>
    <t>scaleX</t>
    <phoneticPr fontId="1"/>
  </si>
  <si>
    <t>scaleY</t>
    <phoneticPr fontId="1"/>
  </si>
  <si>
    <t>scaleZ</t>
    <phoneticPr fontId="1"/>
  </si>
  <si>
    <t>COL_OFFSET_SCALE</t>
    <phoneticPr fontId="1"/>
  </si>
  <si>
    <t>SE_BOUND</t>
    <phoneticPr fontId="1"/>
  </si>
  <si>
    <t>VOL_BOUND</t>
    <phoneticPr fontId="1"/>
  </si>
  <si>
    <t>res/sound/Ball/SE_Bound.wav</t>
    <phoneticPr fontId="1"/>
  </si>
  <si>
    <t>res/sound/Player/SE_TennisShot2.wav</t>
    <phoneticPr fontId="1"/>
  </si>
  <si>
    <t>SE_BALL_CASE</t>
    <phoneticPr fontId="1"/>
  </si>
  <si>
    <t>VOL_BALL_CASE</t>
    <phoneticPr fontId="1"/>
  </si>
  <si>
    <t>res/sound/Player/SE_BallCase.wav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</si>
</sst>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5" borderId="0" xfId="0" applyFill="1" applyAlignment="1">
      <alignment horizontal="left" vertical="center"/>
    </xf>
    <xf numFmtId="3" fontId="0" fillId="0" borderId="0" xfId="0" applyNumberFormat="1" applyAlignment="1">
      <alignment horizontal="left" vertical="top"/>
    </xf>
    <xf numFmtId="0" fontId="0" fillId="6" borderId="0" xfId="0" applyFill="1" applyAlignment="1">
      <alignment horizontal="left" vertical="center"/>
    </xf>
    <xf numFmtId="3" fontId="0" fillId="0" borderId="0" xfId="0" applyNumberFormat="1" applyAlignment="1">
      <alignment vertical="top"/>
    </xf>
    <xf numFmtId="0" fontId="0" fillId="0" borderId="0" xfId="0" applyAlignment="1">
      <alignment vertical="top"/>
    </xf>
    <xf numFmtId="0" fontId="0" fillId="7" borderId="0" xfId="0" applyFill="1" applyAlignment="1">
      <alignment horizontal="left" vertical="top"/>
    </xf>
    <xf numFmtId="14" fontId="0" fillId="0" borderId="0" xfId="0" applyNumberFormat="1">
      <alignment vertical="center"/>
    </xf>
    <xf numFmtId="0" fontId="0" fillId="3" borderId="1" xfId="0" applyFill="1" applyBorder="1" applyAlignment="1">
      <alignment vertical="center" wrapText="1"/>
    </xf>
    <xf numFmtId="0" fontId="0" fillId="2" borderId="2" xfId="0" applyFill="1" applyBorder="1">
      <alignment vertical="center"/>
    </xf>
    <xf numFmtId="0" fontId="0" fillId="0" borderId="2" xfId="0" applyBorder="1" applyAlignment="1">
      <alignment horizontal="right" vertical="top"/>
    </xf>
    <xf numFmtId="0" fontId="0" fillId="8" borderId="2" xfId="0" applyFill="1" applyBorder="1">
      <alignment vertical="center"/>
    </xf>
    <xf numFmtId="0" fontId="0" fillId="0" borderId="2" xfId="0" applyBorder="1" applyAlignment="1">
      <alignment horizontal="right" vertical="center"/>
    </xf>
    <xf numFmtId="3" fontId="0" fillId="0" borderId="2" xfId="0" applyNumberFormat="1" applyBorder="1" applyAlignment="1">
      <alignment horizontal="right" vertical="top"/>
    </xf>
    <xf numFmtId="0" fontId="0" fillId="9" borderId="0" xfId="0" applyFill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5" borderId="0" xfId="0" applyFill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irectX12\source\Direct3D_Guide\Direct3D_Guide\Framework_DirectX\dataTable\SceneData.xlsm" TargetMode="External"/><Relationship Id="rId1" Type="http://schemas.openxmlformats.org/officeDocument/2006/relationships/externalLinkPath" Target="Scene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使い方"/>
      <sheetName val="MathHelper"/>
      <sheetName val="GroundData"/>
      <sheetName val="TestScene"/>
      <sheetName val="GameScene"/>
      <sheetName val="GameScene2"/>
      <sheetName val="ExportLog"/>
    </sheetNames>
    <sheetDataSet>
      <sheetData sheetId="0"/>
      <sheetData sheetId="1"/>
      <sheetData sheetId="2">
        <row r="2">
          <cell r="C2">
            <v>300</v>
          </cell>
        </row>
        <row r="3">
          <cell r="C3">
            <v>-300</v>
          </cell>
        </row>
        <row r="4">
          <cell r="C4">
            <v>2000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B3E2E-4CF4-41DA-B3A5-E56A897D46E0}">
  <sheetPr codeName="Sheet4"/>
  <dimension ref="B1:L22"/>
  <sheetViews>
    <sheetView workbookViewId="0">
      <selection activeCell="L13" sqref="L13"/>
    </sheetView>
  </sheetViews>
  <sheetFormatPr defaultRowHeight="18" x14ac:dyDescent="0.45"/>
  <cols>
    <col min="2" max="2" width="59.19921875" customWidth="1"/>
    <col min="3" max="3" width="8.59765625" customWidth="1"/>
    <col min="4" max="4" width="16.19921875" customWidth="1"/>
    <col min="5" max="5" width="17" customWidth="1"/>
    <col min="6" max="6" width="16.3984375" customWidth="1"/>
    <col min="7" max="7" width="8.59765625" customWidth="1"/>
    <col min="8" max="8" width="11.69921875" customWidth="1"/>
    <col min="9" max="9" width="8.59765625" customWidth="1"/>
    <col min="10" max="10" width="11.69921875" customWidth="1"/>
    <col min="11" max="12" width="8.59765625" customWidth="1"/>
  </cols>
  <sheetData>
    <row r="1" spans="2:12" ht="18.600000000000001" thickBot="1" x14ac:dyDescent="0.5"/>
    <row r="2" spans="2:12" ht="51.6" customHeight="1" thickBot="1" x14ac:dyDescent="0.5">
      <c r="B2" s="14" t="s">
        <v>53</v>
      </c>
      <c r="D2" s="21" t="s">
        <v>54</v>
      </c>
      <c r="E2" s="22"/>
      <c r="F2" s="22"/>
      <c r="H2" s="21"/>
      <c r="I2" s="22"/>
      <c r="J2" s="22"/>
      <c r="K2" s="22"/>
      <c r="L2" s="22"/>
    </row>
    <row r="4" spans="2:12" x14ac:dyDescent="0.45">
      <c r="D4" s="23" t="s">
        <v>55</v>
      </c>
      <c r="E4" s="23"/>
      <c r="F4" s="23"/>
    </row>
    <row r="5" spans="2:12" x14ac:dyDescent="0.45">
      <c r="B5" s="15" t="s">
        <v>56</v>
      </c>
      <c r="D5" s="16" t="s">
        <v>26</v>
      </c>
      <c r="E5" s="16" t="s">
        <v>25</v>
      </c>
      <c r="F5" s="16" t="s">
        <v>24</v>
      </c>
    </row>
    <row r="6" spans="2:12" x14ac:dyDescent="0.45">
      <c r="B6" s="17" t="s">
        <v>57</v>
      </c>
      <c r="D6" s="18" t="s">
        <v>23</v>
      </c>
      <c r="E6" s="18"/>
      <c r="F6" s="18"/>
    </row>
    <row r="7" spans="2:12" x14ac:dyDescent="0.45">
      <c r="B7" s="17" t="s">
        <v>58</v>
      </c>
      <c r="D7" s="16" t="s">
        <v>5</v>
      </c>
      <c r="E7" s="16" t="s">
        <v>59</v>
      </c>
      <c r="F7" s="16">
        <v>75</v>
      </c>
    </row>
    <row r="8" spans="2:12" x14ac:dyDescent="0.45">
      <c r="B8" s="17" t="s">
        <v>60</v>
      </c>
      <c r="D8" s="16" t="s">
        <v>11</v>
      </c>
      <c r="E8" s="16" t="s">
        <v>61</v>
      </c>
      <c r="F8" s="19" t="str">
        <f>(PlayerHelper!E6) &amp; " " &amp; F7+5 &amp; " " &amp; -25</f>
        <v xml:space="preserve"> 80 -25</v>
      </c>
    </row>
    <row r="9" spans="2:12" x14ac:dyDescent="0.45">
      <c r="B9" s="17" t="s">
        <v>62</v>
      </c>
      <c r="D9" s="16" t="s">
        <v>11</v>
      </c>
      <c r="E9" s="16" t="s">
        <v>63</v>
      </c>
      <c r="F9" s="19" t="str">
        <f>(PlayerHelper!E6)*-1 &amp; " " &amp; F7+5 &amp; " " &amp; -25</f>
        <v>0 80 -25</v>
      </c>
    </row>
    <row r="10" spans="2:12" x14ac:dyDescent="0.45">
      <c r="B10" s="17"/>
      <c r="D10" s="16" t="s">
        <v>11</v>
      </c>
      <c r="E10" s="16" t="s">
        <v>64</v>
      </c>
      <c r="F10" s="16" t="str">
        <f>0 &amp; " " &amp; F7+105 &amp; " " &amp; -25</f>
        <v>0 180 -25</v>
      </c>
    </row>
    <row r="11" spans="2:12" x14ac:dyDescent="0.45">
      <c r="B11" s="17" t="s">
        <v>65</v>
      </c>
      <c r="D11" s="18" t="s">
        <v>17</v>
      </c>
      <c r="E11" s="18"/>
      <c r="F11" s="18"/>
    </row>
    <row r="12" spans="2:12" x14ac:dyDescent="0.45">
      <c r="D12" s="16" t="s">
        <v>5</v>
      </c>
      <c r="E12" s="16" t="s">
        <v>66</v>
      </c>
      <c r="F12" s="16">
        <v>500</v>
      </c>
    </row>
    <row r="13" spans="2:12" x14ac:dyDescent="0.45">
      <c r="D13" s="16" t="s">
        <v>5</v>
      </c>
      <c r="E13" s="16" t="s">
        <v>67</v>
      </c>
      <c r="F13" s="16">
        <v>800</v>
      </c>
    </row>
    <row r="14" spans="2:12" x14ac:dyDescent="0.45">
      <c r="D14" s="16" t="s">
        <v>14</v>
      </c>
      <c r="E14" s="16" t="s">
        <v>68</v>
      </c>
      <c r="F14" s="16">
        <v>500</v>
      </c>
    </row>
    <row r="15" spans="2:12" x14ac:dyDescent="0.45">
      <c r="D15" s="18" t="s">
        <v>12</v>
      </c>
      <c r="E15" s="18"/>
      <c r="F15" s="18"/>
    </row>
    <row r="16" spans="2:12" x14ac:dyDescent="0.45">
      <c r="D16" s="16" t="s">
        <v>5</v>
      </c>
      <c r="E16" s="16" t="s">
        <v>69</v>
      </c>
      <c r="F16" s="16">
        <v>1500</v>
      </c>
    </row>
    <row r="17" spans="4:6" x14ac:dyDescent="0.45">
      <c r="D17" s="16" t="s">
        <v>5</v>
      </c>
      <c r="E17" s="16" t="s">
        <v>70</v>
      </c>
      <c r="F17" s="16">
        <f>[1]GroundData!F6</f>
        <v>0</v>
      </c>
    </row>
    <row r="18" spans="4:6" x14ac:dyDescent="0.45">
      <c r="D18" s="16" t="s">
        <v>5</v>
      </c>
      <c r="E18" s="16" t="s">
        <v>71</v>
      </c>
      <c r="F18" s="16">
        <f>[1]GroundData!F7</f>
        <v>0</v>
      </c>
    </row>
    <row r="19" spans="4:6" x14ac:dyDescent="0.45">
      <c r="D19" s="16" t="s">
        <v>5</v>
      </c>
      <c r="E19" s="16" t="s">
        <v>72</v>
      </c>
      <c r="F19" s="16">
        <v>400</v>
      </c>
    </row>
    <row r="20" spans="4:6" x14ac:dyDescent="0.45">
      <c r="D20" s="16" t="s">
        <v>5</v>
      </c>
      <c r="E20" s="16" t="s">
        <v>73</v>
      </c>
      <c r="F20" s="16">
        <v>100</v>
      </c>
    </row>
    <row r="21" spans="4:6" x14ac:dyDescent="0.45">
      <c r="D21" s="18" t="s">
        <v>74</v>
      </c>
      <c r="E21" s="18"/>
      <c r="F21" s="18"/>
    </row>
    <row r="22" spans="4:6" x14ac:dyDescent="0.45">
      <c r="D22" s="18" t="s">
        <v>75</v>
      </c>
      <c r="E22" s="18" t="s">
        <v>76</v>
      </c>
      <c r="F22" s="18" t="s">
        <v>77</v>
      </c>
    </row>
  </sheetData>
  <mergeCells count="3">
    <mergeCell ref="D2:F2"/>
    <mergeCell ref="H2:L2"/>
    <mergeCell ref="D4:F4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4A574-4695-4D9C-9769-0747076C668B}">
  <sheetPr codeName="Sheet6"/>
  <dimension ref="A1:C69"/>
  <sheetViews>
    <sheetView topLeftCell="A13" zoomScaleNormal="100" workbookViewId="0">
      <selection activeCell="C20" sqref="C20"/>
    </sheetView>
  </sheetViews>
  <sheetFormatPr defaultColWidth="8.69921875" defaultRowHeight="18" x14ac:dyDescent="0.45"/>
  <cols>
    <col min="1" max="1" width="16.296875" style="2" customWidth="1"/>
    <col min="2" max="2" width="31.09765625" style="2" customWidth="1"/>
    <col min="3" max="3" width="26.19921875" style="2" customWidth="1"/>
    <col min="4" max="4" width="10.5" style="1" customWidth="1"/>
    <col min="5" max="16384" width="8.69921875" style="1"/>
  </cols>
  <sheetData>
    <row r="1" spans="1:3" x14ac:dyDescent="0.45">
      <c r="A1" s="3" t="s">
        <v>26</v>
      </c>
      <c r="B1" s="3" t="s">
        <v>25</v>
      </c>
      <c r="C1" s="3" t="s">
        <v>24</v>
      </c>
    </row>
    <row r="2" spans="1:3" x14ac:dyDescent="0.45">
      <c r="A2" s="9" t="s">
        <v>23</v>
      </c>
    </row>
    <row r="3" spans="1:3" x14ac:dyDescent="0.45">
      <c r="A3" s="3" t="s">
        <v>11</v>
      </c>
      <c r="B3" s="2" t="s">
        <v>22</v>
      </c>
      <c r="C3" s="1" t="s">
        <v>78</v>
      </c>
    </row>
    <row r="4" spans="1:3" x14ac:dyDescent="0.45">
      <c r="A4" s="3" t="s">
        <v>11</v>
      </c>
      <c r="B4" s="3" t="s">
        <v>21</v>
      </c>
      <c r="C4" s="8" t="str">
        <f>(PlayerHelper!B2)*-1 &amp; " " &amp; (PlayerHelper!B3) &amp; " " &amp; (PlayerHelper!B2)*0.5</f>
        <v>-1 1.3 0.5</v>
      </c>
    </row>
    <row r="5" spans="1:3" x14ac:dyDescent="0.45">
      <c r="A5" s="3" t="s">
        <v>11</v>
      </c>
      <c r="B5" s="3" t="s">
        <v>20</v>
      </c>
      <c r="C5" s="8" t="str">
        <f>(PlayerHelper!B2)&amp; " " &amp; (PlayerHelper!B3) &amp; " " &amp; (PlayerHelper!B2)*0.5</f>
        <v>1 1.3 0.5</v>
      </c>
    </row>
    <row r="6" spans="1:3" x14ac:dyDescent="0.45">
      <c r="A6" s="3" t="s">
        <v>11</v>
      </c>
      <c r="B6" s="3" t="s">
        <v>19</v>
      </c>
      <c r="C6" s="3" t="str">
        <f>0 &amp; " " &amp; (PlayerHelper!B3)+1.5 &amp; " " &amp; (PlayerHelper!B2)*0.5</f>
        <v>0 2.8 0.5</v>
      </c>
    </row>
    <row r="7" spans="1:3" x14ac:dyDescent="0.45">
      <c r="A7" s="3" t="s">
        <v>5</v>
      </c>
      <c r="B7" s="3" t="s">
        <v>18</v>
      </c>
      <c r="C7" s="3">
        <v>1200</v>
      </c>
    </row>
    <row r="8" spans="1:3" x14ac:dyDescent="0.45">
      <c r="A8" s="7" t="s">
        <v>17</v>
      </c>
    </row>
    <row r="9" spans="1:3" x14ac:dyDescent="0.45">
      <c r="A9" s="3" t="s">
        <v>5</v>
      </c>
      <c r="B9" s="3" t="s">
        <v>16</v>
      </c>
      <c r="C9" s="3">
        <v>500</v>
      </c>
    </row>
    <row r="10" spans="1:3" x14ac:dyDescent="0.45">
      <c r="A10" s="3" t="s">
        <v>5</v>
      </c>
      <c r="B10" s="3" t="s">
        <v>15</v>
      </c>
      <c r="C10" s="3">
        <v>800</v>
      </c>
    </row>
    <row r="11" spans="1:3" x14ac:dyDescent="0.45">
      <c r="A11" s="3" t="s">
        <v>14</v>
      </c>
      <c r="B11" s="3" t="s">
        <v>13</v>
      </c>
      <c r="C11" s="3">
        <v>500</v>
      </c>
    </row>
    <row r="12" spans="1:3" x14ac:dyDescent="0.45">
      <c r="A12" s="6" t="s">
        <v>12</v>
      </c>
    </row>
    <row r="13" spans="1:3" x14ac:dyDescent="0.45">
      <c r="A13" s="2" t="s">
        <v>11</v>
      </c>
      <c r="B13" s="2" t="s">
        <v>10</v>
      </c>
      <c r="C13" s="2" t="str">
        <f>0 &amp; " " &amp;250&amp;" "&amp;[1]GroundData!C4</f>
        <v>0 250 2000</v>
      </c>
    </row>
    <row r="14" spans="1:3" x14ac:dyDescent="0.45">
      <c r="A14" s="3" t="s">
        <v>5</v>
      </c>
      <c r="B14" s="3" t="s">
        <v>9</v>
      </c>
      <c r="C14" s="3">
        <v>1500</v>
      </c>
    </row>
    <row r="15" spans="1:3" x14ac:dyDescent="0.45">
      <c r="A15" s="3" t="s">
        <v>5</v>
      </c>
      <c r="B15" s="3" t="s">
        <v>8</v>
      </c>
      <c r="C15" s="3">
        <f>[1]GroundData!C2+300</f>
        <v>600</v>
      </c>
    </row>
    <row r="16" spans="1:3" x14ac:dyDescent="0.45">
      <c r="A16" s="3" t="s">
        <v>5</v>
      </c>
      <c r="B16" s="3" t="s">
        <v>7</v>
      </c>
      <c r="C16" s="3">
        <f>[1]GroundData!C3-300</f>
        <v>-600</v>
      </c>
    </row>
    <row r="17" spans="1:3" x14ac:dyDescent="0.45">
      <c r="A17" s="3" t="s">
        <v>5</v>
      </c>
      <c r="B17" s="3" t="s">
        <v>6</v>
      </c>
      <c r="C17" s="3">
        <v>400</v>
      </c>
    </row>
    <row r="18" spans="1:3" x14ac:dyDescent="0.45">
      <c r="A18" s="3" t="s">
        <v>5</v>
      </c>
      <c r="B18" s="3" t="s">
        <v>4</v>
      </c>
      <c r="C18" s="3">
        <v>100</v>
      </c>
    </row>
    <row r="19" spans="1:3" x14ac:dyDescent="0.45">
      <c r="A19" s="5" t="s">
        <v>3</v>
      </c>
    </row>
    <row r="20" spans="1:3" x14ac:dyDescent="0.45">
      <c r="A20" s="2" t="s">
        <v>2</v>
      </c>
      <c r="B20" s="2" t="s">
        <v>1</v>
      </c>
      <c r="C20" s="2" t="s">
        <v>235</v>
      </c>
    </row>
    <row r="21" spans="1:3" x14ac:dyDescent="0.45">
      <c r="A21" s="2" t="s">
        <v>5</v>
      </c>
      <c r="B21" s="2" t="s">
        <v>209</v>
      </c>
      <c r="C21" s="2">
        <v>2</v>
      </c>
    </row>
    <row r="22" spans="1:3" x14ac:dyDescent="0.45">
      <c r="A22" s="2" t="s">
        <v>2</v>
      </c>
      <c r="B22" s="2" t="s">
        <v>195</v>
      </c>
      <c r="C22" s="2" t="s">
        <v>198</v>
      </c>
    </row>
    <row r="23" spans="1:3" x14ac:dyDescent="0.45">
      <c r="A23" s="2" t="s">
        <v>5</v>
      </c>
      <c r="B23" s="2" t="s">
        <v>210</v>
      </c>
      <c r="C23" s="2">
        <v>2</v>
      </c>
    </row>
    <row r="24" spans="1:3" x14ac:dyDescent="0.45">
      <c r="A24" s="2" t="s">
        <v>2</v>
      </c>
      <c r="B24" s="2" t="s">
        <v>196</v>
      </c>
      <c r="C24" s="2" t="s">
        <v>199</v>
      </c>
    </row>
    <row r="25" spans="1:3" x14ac:dyDescent="0.45">
      <c r="A25" s="2" t="s">
        <v>5</v>
      </c>
      <c r="B25" s="2" t="s">
        <v>211</v>
      </c>
      <c r="C25" s="2">
        <v>0.6</v>
      </c>
    </row>
    <row r="26" spans="1:3" x14ac:dyDescent="0.45">
      <c r="A26" s="2" t="s">
        <v>2</v>
      </c>
      <c r="B26" s="2" t="s">
        <v>197</v>
      </c>
      <c r="C26" s="2" t="s">
        <v>200</v>
      </c>
    </row>
    <row r="27" spans="1:3" x14ac:dyDescent="0.45">
      <c r="A27" s="2" t="s">
        <v>5</v>
      </c>
      <c r="B27" s="2" t="s">
        <v>212</v>
      </c>
      <c r="C27" s="2">
        <v>1.5</v>
      </c>
    </row>
    <row r="28" spans="1:3" x14ac:dyDescent="0.45">
      <c r="A28" s="20" t="s">
        <v>79</v>
      </c>
    </row>
    <row r="29" spans="1:3" x14ac:dyDescent="0.45">
      <c r="A29" s="2" t="s">
        <v>0</v>
      </c>
      <c r="B29" s="2" t="s">
        <v>81</v>
      </c>
      <c r="C29" s="2">
        <v>4</v>
      </c>
    </row>
    <row r="30" spans="1:3" x14ac:dyDescent="0.45">
      <c r="A30" s="2" t="s">
        <v>5</v>
      </c>
      <c r="B30" s="2" t="s">
        <v>170</v>
      </c>
      <c r="C30" s="2">
        <v>1.1499999999999999</v>
      </c>
    </row>
    <row r="31" spans="1:3" x14ac:dyDescent="0.45">
      <c r="A31" s="2" t="s">
        <v>82</v>
      </c>
      <c r="B31" s="2" t="s">
        <v>171</v>
      </c>
      <c r="C31" s="2">
        <v>0.5</v>
      </c>
    </row>
    <row r="32" spans="1:3" x14ac:dyDescent="0.45">
      <c r="A32" s="2" t="s">
        <v>0</v>
      </c>
      <c r="B32" s="2" t="s">
        <v>83</v>
      </c>
      <c r="C32" s="2">
        <v>15</v>
      </c>
    </row>
    <row r="33" spans="1:3" x14ac:dyDescent="0.45">
      <c r="A33" s="2" t="s">
        <v>5</v>
      </c>
      <c r="B33" s="2" t="s">
        <v>80</v>
      </c>
      <c r="C33" s="2">
        <v>2</v>
      </c>
    </row>
    <row r="34" spans="1:3" x14ac:dyDescent="0.45">
      <c r="A34" s="2" t="s">
        <v>180</v>
      </c>
      <c r="B34" s="2" t="s">
        <v>179</v>
      </c>
      <c r="C34" s="2">
        <f>700*700</f>
        <v>490000</v>
      </c>
    </row>
    <row r="35" spans="1:3" x14ac:dyDescent="0.45">
      <c r="A35" s="9" t="s">
        <v>172</v>
      </c>
    </row>
    <row r="36" spans="1:3" x14ac:dyDescent="0.45">
      <c r="A36" s="2" t="s">
        <v>2</v>
      </c>
      <c r="B36" s="2" t="s">
        <v>173</v>
      </c>
      <c r="C36" s="2" t="s">
        <v>174</v>
      </c>
    </row>
    <row r="37" spans="1:3" x14ac:dyDescent="0.45">
      <c r="A37" s="7" t="s">
        <v>91</v>
      </c>
    </row>
    <row r="38" spans="1:3" x14ac:dyDescent="0.45">
      <c r="A38" s="2" t="s">
        <v>97</v>
      </c>
    </row>
    <row r="39" spans="1:3" x14ac:dyDescent="0.45">
      <c r="A39" s="2" t="s">
        <v>2</v>
      </c>
      <c r="B39" s="2" t="str">
        <f xml:space="preserve"> "ANIMA_PATH_" &amp; A38</f>
        <v>ANIMA_PATH_IDLE</v>
      </c>
      <c r="C39" s="2" t="s">
        <v>94</v>
      </c>
    </row>
    <row r="40" spans="1:3" x14ac:dyDescent="0.45">
      <c r="A40" s="2" t="s">
        <v>93</v>
      </c>
      <c r="B40" s="2" t="str">
        <f>"ANIMA_LOOP_" &amp; A38</f>
        <v>ANIMA_LOOP_IDLE</v>
      </c>
      <c r="C40" s="2" t="b">
        <v>1</v>
      </c>
    </row>
    <row r="41" spans="1:3" x14ac:dyDescent="0.45">
      <c r="A41" s="2" t="s">
        <v>41</v>
      </c>
      <c r="B41" s="2" t="str">
        <f>"ANIMA_SCALE_" &amp; A38</f>
        <v>ANIMA_SCALE_IDLE</v>
      </c>
      <c r="C41" s="2">
        <v>1</v>
      </c>
    </row>
    <row r="42" spans="1:3" x14ac:dyDescent="0.45">
      <c r="A42" s="2" t="s">
        <v>98</v>
      </c>
    </row>
    <row r="43" spans="1:3" x14ac:dyDescent="0.45">
      <c r="A43" s="2" t="s">
        <v>2</v>
      </c>
      <c r="B43" s="2" t="str">
        <f xml:space="preserve"> "ANIMA_PATH_" &amp; A42</f>
        <v>ANIMA_PATH_RUN</v>
      </c>
      <c r="C43" s="2" t="s">
        <v>95</v>
      </c>
    </row>
    <row r="44" spans="1:3" x14ac:dyDescent="0.45">
      <c r="A44" s="2" t="s">
        <v>93</v>
      </c>
      <c r="B44" s="2" t="str">
        <f>"ANIMA_LOOP_" &amp; A42</f>
        <v>ANIMA_LOOP_RUN</v>
      </c>
      <c r="C44" s="2" t="b">
        <v>1</v>
      </c>
    </row>
    <row r="45" spans="1:3" x14ac:dyDescent="0.45">
      <c r="A45" s="2" t="s">
        <v>41</v>
      </c>
      <c r="B45" s="2" t="str">
        <f>"ANIMA_SCALE_" &amp; A42</f>
        <v>ANIMA_SCALE_RUN</v>
      </c>
      <c r="C45" s="2">
        <v>1</v>
      </c>
    </row>
    <row r="46" spans="1:3" x14ac:dyDescent="0.45">
      <c r="A46" s="2" t="s">
        <v>96</v>
      </c>
    </row>
    <row r="47" spans="1:3" x14ac:dyDescent="0.45">
      <c r="A47" s="2" t="s">
        <v>2</v>
      </c>
      <c r="B47" s="2" t="str">
        <f xml:space="preserve"> "ANIMA_PATH_" &amp; A46</f>
        <v>ANIMA_PATH_SWING</v>
      </c>
      <c r="C47" s="2" t="s">
        <v>99</v>
      </c>
    </row>
    <row r="48" spans="1:3" x14ac:dyDescent="0.45">
      <c r="A48" s="2" t="s">
        <v>93</v>
      </c>
      <c r="B48" s="2" t="str">
        <f>"ANIMA_LOOP_" &amp; A46</f>
        <v>ANIMA_LOOP_SWING</v>
      </c>
      <c r="C48" s="2" t="b">
        <v>0</v>
      </c>
    </row>
    <row r="49" spans="1:3" x14ac:dyDescent="0.45">
      <c r="A49" s="2" t="s">
        <v>41</v>
      </c>
      <c r="B49" s="2" t="str">
        <f>"ANIMA_SCALE_" &amp; A46</f>
        <v>ANIMA_SCALE_SWING</v>
      </c>
      <c r="C49" s="2">
        <v>1.5</v>
      </c>
    </row>
    <row r="50" spans="1:3" x14ac:dyDescent="0.45">
      <c r="A50" s="2" t="s">
        <v>100</v>
      </c>
    </row>
    <row r="51" spans="1:3" x14ac:dyDescent="0.45">
      <c r="A51" s="2" t="s">
        <v>2</v>
      </c>
      <c r="B51" s="2" t="str">
        <f xml:space="preserve"> "ANIMA_PATH_" &amp; A50</f>
        <v>ANIMA_PATH_SMASH</v>
      </c>
      <c r="C51" s="2" t="s">
        <v>101</v>
      </c>
    </row>
    <row r="52" spans="1:3" x14ac:dyDescent="0.45">
      <c r="A52" s="2" t="s">
        <v>93</v>
      </c>
      <c r="B52" s="2" t="str">
        <f>"ANIMA_LOOP_" &amp; A50</f>
        <v>ANIMA_LOOP_SMASH</v>
      </c>
      <c r="C52" s="2" t="b">
        <v>0</v>
      </c>
    </row>
    <row r="53" spans="1:3" x14ac:dyDescent="0.45">
      <c r="A53" s="2" t="s">
        <v>41</v>
      </c>
      <c r="B53" s="2" t="str">
        <f>"ANIMA_SCALE_" &amp; A50</f>
        <v>ANIMA_SCALE_SMASH</v>
      </c>
      <c r="C53" s="2">
        <v>2</v>
      </c>
    </row>
    <row r="54" spans="1:3" x14ac:dyDescent="0.45">
      <c r="A54" s="2" t="s">
        <v>102</v>
      </c>
    </row>
    <row r="55" spans="1:3" x14ac:dyDescent="0.45">
      <c r="A55" s="2" t="s">
        <v>2</v>
      </c>
      <c r="B55" s="2" t="str">
        <f xml:space="preserve"> "ANIMA_PATH_" &amp; A54</f>
        <v>ANIMA_PATH_JUMP</v>
      </c>
      <c r="C55" s="2" t="s">
        <v>103</v>
      </c>
    </row>
    <row r="56" spans="1:3" x14ac:dyDescent="0.45">
      <c r="A56" s="2" t="s">
        <v>93</v>
      </c>
      <c r="B56" s="2" t="str">
        <f>"ANIMA_LOOP_" &amp; A54</f>
        <v>ANIMA_LOOP_JUMP</v>
      </c>
      <c r="C56" s="2" t="b">
        <v>0</v>
      </c>
    </row>
    <row r="57" spans="1:3" x14ac:dyDescent="0.45">
      <c r="A57" s="2" t="s">
        <v>41</v>
      </c>
      <c r="B57" s="2" t="str">
        <f>"ANIMA_SCALE_" &amp; A54</f>
        <v>ANIMA_SCALE_JUMP</v>
      </c>
      <c r="C57" s="2">
        <v>1</v>
      </c>
    </row>
    <row r="58" spans="1:3" x14ac:dyDescent="0.45">
      <c r="A58" s="2" t="s">
        <v>104</v>
      </c>
    </row>
    <row r="59" spans="1:3" x14ac:dyDescent="0.45">
      <c r="A59" s="2" t="s">
        <v>2</v>
      </c>
      <c r="B59" s="2" t="str">
        <f xml:space="preserve"> "ANIMA_PATH_" &amp; A58</f>
        <v>ANIMA_PATH_HIT_RES</v>
      </c>
      <c r="C59" s="2" t="s">
        <v>105</v>
      </c>
    </row>
    <row r="60" spans="1:3" x14ac:dyDescent="0.45">
      <c r="A60" s="2" t="s">
        <v>93</v>
      </c>
      <c r="B60" s="2" t="str">
        <f>"ANIMA_LOOP_" &amp; A58</f>
        <v>ANIMA_LOOP_HIT_RES</v>
      </c>
      <c r="C60" s="2" t="b">
        <v>0</v>
      </c>
    </row>
    <row r="61" spans="1:3" x14ac:dyDescent="0.45">
      <c r="A61" s="2" t="s">
        <v>41</v>
      </c>
      <c r="B61" s="2" t="str">
        <f>"ANIMA_SCALE_" &amp; A58</f>
        <v>ANIMA_SCALE_HIT_RES</v>
      </c>
      <c r="C61" s="2">
        <v>1</v>
      </c>
    </row>
    <row r="62" spans="1:3" x14ac:dyDescent="0.45">
      <c r="A62" s="2" t="s">
        <v>175</v>
      </c>
    </row>
    <row r="63" spans="1:3" x14ac:dyDescent="0.45">
      <c r="A63" s="2" t="s">
        <v>2</v>
      </c>
      <c r="B63" s="2" t="str">
        <f xml:space="preserve"> "ANIMA_PATH_" &amp; A62</f>
        <v>ANIMA_PATH_DANCE</v>
      </c>
      <c r="C63" s="2" t="s">
        <v>176</v>
      </c>
    </row>
    <row r="64" spans="1:3" x14ac:dyDescent="0.45">
      <c r="A64" s="2" t="s">
        <v>93</v>
      </c>
      <c r="B64" s="2" t="str">
        <f>"ANIMA_LOOP_" &amp; A62</f>
        <v>ANIMA_LOOP_DANCE</v>
      </c>
      <c r="C64" s="2" t="b">
        <v>1</v>
      </c>
    </row>
    <row r="65" spans="1:3" x14ac:dyDescent="0.45">
      <c r="A65" s="2" t="s">
        <v>41</v>
      </c>
      <c r="B65" s="2" t="str">
        <f>"ANIMA_SCALE_" &amp; A62</f>
        <v>ANIMA_SCALE_DANCE</v>
      </c>
      <c r="C65" s="2">
        <v>1</v>
      </c>
    </row>
    <row r="66" spans="1:3" x14ac:dyDescent="0.45">
      <c r="A66" s="2" t="s">
        <v>177</v>
      </c>
    </row>
    <row r="67" spans="1:3" x14ac:dyDescent="0.45">
      <c r="A67" s="2" t="s">
        <v>2</v>
      </c>
      <c r="B67" s="2" t="str">
        <f xml:space="preserve"> "ANIMA_PATH_" &amp; A66</f>
        <v>ANIMA_PATH_GAME_OVER</v>
      </c>
      <c r="C67" s="2" t="s">
        <v>178</v>
      </c>
    </row>
    <row r="68" spans="1:3" x14ac:dyDescent="0.45">
      <c r="A68" s="2" t="s">
        <v>93</v>
      </c>
      <c r="B68" s="2" t="str">
        <f>"ANIMA_LOOP_" &amp; A66</f>
        <v>ANIMA_LOOP_GAME_OVER</v>
      </c>
      <c r="C68" s="2" t="b">
        <v>0</v>
      </c>
    </row>
    <row r="69" spans="1:3" x14ac:dyDescent="0.45">
      <c r="A69" s="2" t="s">
        <v>41</v>
      </c>
      <c r="B69" s="2" t="str">
        <f>"ANIMA_SCALE_" &amp; A66</f>
        <v>ANIMA_SCALE_GAME_OVER</v>
      </c>
      <c r="C69" s="2">
        <v>1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597DF-0328-41D9-A898-4840BB597FCA}">
  <sheetPr codeName="Sheet1"/>
  <dimension ref="A1:C36"/>
  <sheetViews>
    <sheetView topLeftCell="A22" zoomScaleNormal="100" workbookViewId="0">
      <selection activeCell="C36" sqref="C36"/>
    </sheetView>
  </sheetViews>
  <sheetFormatPr defaultColWidth="8.69921875" defaultRowHeight="18" x14ac:dyDescent="0.45"/>
  <cols>
    <col min="1" max="1" width="13.8984375" style="2" customWidth="1"/>
    <col min="2" max="2" width="31.09765625" style="2" customWidth="1"/>
    <col min="3" max="3" width="26.19921875" style="2" customWidth="1"/>
    <col min="4" max="4" width="10.5" style="2" customWidth="1"/>
    <col min="5" max="16384" width="8.69921875" style="2"/>
  </cols>
  <sheetData>
    <row r="1" spans="1:3" x14ac:dyDescent="0.45">
      <c r="A1" s="3" t="s">
        <v>181</v>
      </c>
      <c r="B1" s="3" t="s">
        <v>182</v>
      </c>
      <c r="C1" s="3" t="s">
        <v>189</v>
      </c>
    </row>
    <row r="2" spans="1:3" x14ac:dyDescent="0.45">
      <c r="A2" s="9" t="s">
        <v>183</v>
      </c>
    </row>
    <row r="3" spans="1:3" x14ac:dyDescent="0.45">
      <c r="A3" s="3" t="s">
        <v>116</v>
      </c>
      <c r="B3" s="2" t="s">
        <v>109</v>
      </c>
      <c r="C3" s="2" t="s">
        <v>121</v>
      </c>
    </row>
    <row r="4" spans="1:3" x14ac:dyDescent="0.45">
      <c r="A4" s="3" t="s">
        <v>116</v>
      </c>
      <c r="B4" s="3" t="s">
        <v>122</v>
      </c>
      <c r="C4" s="8" t="s">
        <v>123</v>
      </c>
    </row>
    <row r="5" spans="1:3" x14ac:dyDescent="0.45">
      <c r="A5" s="3" t="s">
        <v>116</v>
      </c>
      <c r="B5" s="3" t="s">
        <v>19</v>
      </c>
      <c r="C5" s="3" t="s">
        <v>124</v>
      </c>
    </row>
    <row r="6" spans="1:3" x14ac:dyDescent="0.45">
      <c r="A6" s="3" t="s">
        <v>110</v>
      </c>
      <c r="B6" s="3" t="s">
        <v>125</v>
      </c>
      <c r="C6" s="3">
        <v>1000</v>
      </c>
    </row>
    <row r="7" spans="1:3" x14ac:dyDescent="0.45">
      <c r="A7" s="2" t="s">
        <v>92</v>
      </c>
      <c r="B7" s="2" t="s">
        <v>106</v>
      </c>
      <c r="C7" s="2" t="s">
        <v>107</v>
      </c>
    </row>
    <row r="8" spans="1:3" x14ac:dyDescent="0.45">
      <c r="A8" s="2" t="s">
        <v>92</v>
      </c>
      <c r="B8" s="2" t="s">
        <v>184</v>
      </c>
      <c r="C8" s="2" t="s">
        <v>108</v>
      </c>
    </row>
    <row r="9" spans="1:3" x14ac:dyDescent="0.45">
      <c r="A9" s="2" t="s">
        <v>110</v>
      </c>
      <c r="B9" s="2" t="s">
        <v>126</v>
      </c>
      <c r="C9" s="2">
        <v>0.01</v>
      </c>
    </row>
    <row r="10" spans="1:3" x14ac:dyDescent="0.45">
      <c r="A10" s="2" t="s">
        <v>116</v>
      </c>
      <c r="B10" s="2" t="s">
        <v>118</v>
      </c>
      <c r="C10" s="2" t="s">
        <v>117</v>
      </c>
    </row>
    <row r="11" spans="1:3" x14ac:dyDescent="0.45">
      <c r="A11" s="2" t="s">
        <v>116</v>
      </c>
      <c r="B11" s="2" t="s">
        <v>119</v>
      </c>
      <c r="C11" s="2" t="s">
        <v>120</v>
      </c>
    </row>
    <row r="12" spans="1:3" x14ac:dyDescent="0.45">
      <c r="A12" s="2" t="s">
        <v>92</v>
      </c>
      <c r="B12" s="2" t="s">
        <v>112</v>
      </c>
      <c r="C12" s="2" t="s">
        <v>111</v>
      </c>
    </row>
    <row r="13" spans="1:3" x14ac:dyDescent="0.45">
      <c r="A13" s="2" t="s">
        <v>110</v>
      </c>
      <c r="B13" s="2" t="s">
        <v>113</v>
      </c>
      <c r="C13" s="2">
        <v>10</v>
      </c>
    </row>
    <row r="14" spans="1:3" x14ac:dyDescent="0.45">
      <c r="A14" s="2" t="s">
        <v>110</v>
      </c>
      <c r="B14" s="2" t="s">
        <v>114</v>
      </c>
      <c r="C14" s="2">
        <v>10</v>
      </c>
    </row>
    <row r="15" spans="1:3" x14ac:dyDescent="0.45">
      <c r="A15" s="2" t="s">
        <v>116</v>
      </c>
      <c r="B15" s="2" t="s">
        <v>127</v>
      </c>
      <c r="C15" s="2" t="s">
        <v>128</v>
      </c>
    </row>
    <row r="16" spans="1:3" x14ac:dyDescent="0.45">
      <c r="A16" s="2" t="s">
        <v>116</v>
      </c>
      <c r="B16" s="2" t="s">
        <v>129</v>
      </c>
      <c r="C16" s="2" t="s">
        <v>130</v>
      </c>
    </row>
    <row r="17" spans="1:3" x14ac:dyDescent="0.45">
      <c r="A17" s="2" t="s">
        <v>116</v>
      </c>
      <c r="B17" s="2" t="s">
        <v>131</v>
      </c>
      <c r="C17" s="2" t="s">
        <v>132</v>
      </c>
    </row>
    <row r="18" spans="1:3" x14ac:dyDescent="0.45">
      <c r="A18" s="2" t="s">
        <v>92</v>
      </c>
      <c r="B18" s="2" t="s">
        <v>185</v>
      </c>
      <c r="C18" s="2" t="s">
        <v>186</v>
      </c>
    </row>
    <row r="19" spans="1:3" x14ac:dyDescent="0.45">
      <c r="A19" s="2" t="s">
        <v>92</v>
      </c>
      <c r="B19" s="2" t="s">
        <v>133</v>
      </c>
      <c r="C19" s="2" t="s">
        <v>115</v>
      </c>
    </row>
    <row r="20" spans="1:3" x14ac:dyDescent="0.45">
      <c r="A20" s="2" t="s">
        <v>110</v>
      </c>
      <c r="B20" s="2" t="s">
        <v>134</v>
      </c>
      <c r="C20" s="2">
        <v>0.8</v>
      </c>
    </row>
    <row r="21" spans="1:3" x14ac:dyDescent="0.45">
      <c r="A21" s="2" t="s">
        <v>110</v>
      </c>
      <c r="B21" s="2" t="s">
        <v>135</v>
      </c>
      <c r="C21" s="2">
        <v>1.17</v>
      </c>
    </row>
    <row r="22" spans="1:3" x14ac:dyDescent="0.45">
      <c r="A22" s="2" t="s">
        <v>136</v>
      </c>
      <c r="B22" s="2" t="s">
        <v>137</v>
      </c>
      <c r="C22" s="2">
        <v>0.5</v>
      </c>
    </row>
    <row r="23" spans="1:3" x14ac:dyDescent="0.45">
      <c r="A23" s="7" t="s">
        <v>187</v>
      </c>
    </row>
    <row r="24" spans="1:3" x14ac:dyDescent="0.45">
      <c r="A24" s="2" t="s">
        <v>116</v>
      </c>
      <c r="B24" s="2" t="s">
        <v>138</v>
      </c>
      <c r="C24" s="2" t="s">
        <v>139</v>
      </c>
    </row>
    <row r="25" spans="1:3" x14ac:dyDescent="0.45">
      <c r="A25" s="2" t="s">
        <v>116</v>
      </c>
      <c r="B25" s="2" t="s">
        <v>140</v>
      </c>
      <c r="C25" s="2" t="s">
        <v>141</v>
      </c>
    </row>
    <row r="26" spans="1:3" x14ac:dyDescent="0.45">
      <c r="A26" s="6" t="s">
        <v>188</v>
      </c>
    </row>
    <row r="27" spans="1:3" x14ac:dyDescent="0.45">
      <c r="A27" s="2" t="s">
        <v>92</v>
      </c>
      <c r="B27" s="2" t="s">
        <v>142</v>
      </c>
      <c r="C27" s="2" t="s">
        <v>143</v>
      </c>
    </row>
    <row r="28" spans="1:3" x14ac:dyDescent="0.45">
      <c r="A28" s="2" t="s">
        <v>92</v>
      </c>
      <c r="B28" s="2" t="s">
        <v>144</v>
      </c>
      <c r="C28" s="2" t="s">
        <v>145</v>
      </c>
    </row>
    <row r="29" spans="1:3" x14ac:dyDescent="0.45">
      <c r="A29" s="2" t="s">
        <v>116</v>
      </c>
      <c r="B29" s="2" t="s">
        <v>146</v>
      </c>
      <c r="C29" s="2" t="s">
        <v>147</v>
      </c>
    </row>
    <row r="30" spans="1:3" x14ac:dyDescent="0.45">
      <c r="A30" s="2" t="s">
        <v>116</v>
      </c>
      <c r="B30" s="2" t="s">
        <v>148</v>
      </c>
      <c r="C30" s="2" t="s">
        <v>149</v>
      </c>
    </row>
    <row r="31" spans="1:3" x14ac:dyDescent="0.45">
      <c r="A31" s="2" t="s">
        <v>110</v>
      </c>
      <c r="B31" s="2" t="s">
        <v>191</v>
      </c>
      <c r="C31" s="2">
        <v>200</v>
      </c>
    </row>
    <row r="32" spans="1:3" x14ac:dyDescent="0.45">
      <c r="A32" s="2" t="s">
        <v>110</v>
      </c>
      <c r="B32" s="3" t="s">
        <v>192</v>
      </c>
      <c r="C32" s="2">
        <v>0.2</v>
      </c>
    </row>
    <row r="33" spans="1:3" x14ac:dyDescent="0.45">
      <c r="A33" s="3" t="s">
        <v>116</v>
      </c>
      <c r="B33" s="2" t="s">
        <v>193</v>
      </c>
      <c r="C33" s="2" t="s">
        <v>194</v>
      </c>
    </row>
    <row r="34" spans="1:3" x14ac:dyDescent="0.45">
      <c r="A34" s="7" t="s">
        <v>3</v>
      </c>
    </row>
    <row r="35" spans="1:3" x14ac:dyDescent="0.45">
      <c r="A35" s="2" t="s">
        <v>75</v>
      </c>
      <c r="B35" s="2" t="s">
        <v>236</v>
      </c>
      <c r="C35" s="2" t="s">
        <v>238</v>
      </c>
    </row>
    <row r="36" spans="1:3" x14ac:dyDescent="0.45">
      <c r="A36" s="2" t="s">
        <v>5</v>
      </c>
      <c r="B36" s="2" t="s">
        <v>237</v>
      </c>
      <c r="C36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5895D-6B79-4202-9072-C15AEBA372D4}">
  <sheetPr codeName="Sheet7"/>
  <dimension ref="A1:C4"/>
  <sheetViews>
    <sheetView topLeftCell="A4" workbookViewId="0">
      <selection activeCell="D4" sqref="D4"/>
    </sheetView>
  </sheetViews>
  <sheetFormatPr defaultRowHeight="18" x14ac:dyDescent="0.45"/>
  <cols>
    <col min="1" max="1" width="13.8984375" customWidth="1"/>
    <col min="2" max="2" width="13.69921875" customWidth="1"/>
    <col min="3" max="3" width="15.5" customWidth="1"/>
    <col min="4" max="4" width="10.5" customWidth="1"/>
  </cols>
  <sheetData>
    <row r="1" spans="1:3" x14ac:dyDescent="0.45">
      <c r="A1" t="s">
        <v>30</v>
      </c>
    </row>
    <row r="2" spans="1:3" x14ac:dyDescent="0.45">
      <c r="A2" t="s">
        <v>29</v>
      </c>
      <c r="B2" s="11">
        <v>1</v>
      </c>
      <c r="C2" s="11"/>
    </row>
    <row r="3" spans="1:3" x14ac:dyDescent="0.45">
      <c r="A3" t="s">
        <v>28</v>
      </c>
      <c r="B3" s="11">
        <v>1.3</v>
      </c>
      <c r="C3" s="10"/>
    </row>
    <row r="4" spans="1:3" x14ac:dyDescent="0.45">
      <c r="A4" t="s">
        <v>27</v>
      </c>
      <c r="B4">
        <v>10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7087C-6127-4C7A-93D7-4370A7A91983}">
  <sheetPr codeName="Sheet10"/>
  <dimension ref="A1:D12"/>
  <sheetViews>
    <sheetView tabSelected="1" zoomScale="85" zoomScaleNormal="85" workbookViewId="0">
      <selection activeCell="C13" sqref="C13"/>
    </sheetView>
  </sheetViews>
  <sheetFormatPr defaultColWidth="8.69921875" defaultRowHeight="18" x14ac:dyDescent="0.45"/>
  <cols>
    <col min="1" max="1" width="19.69921875" style="2" customWidth="1"/>
    <col min="2" max="2" width="31.09765625" style="2" customWidth="1"/>
    <col min="3" max="3" width="26.19921875" style="2" customWidth="1"/>
    <col min="4" max="4" width="10.5" style="1" customWidth="1"/>
    <col min="5" max="16384" width="8.69921875" style="1"/>
  </cols>
  <sheetData>
    <row r="1" spans="1:4" x14ac:dyDescent="0.45">
      <c r="A1" s="3" t="s">
        <v>26</v>
      </c>
      <c r="B1" s="3" t="s">
        <v>25</v>
      </c>
      <c r="C1" s="3" t="s">
        <v>43</v>
      </c>
    </row>
    <row r="2" spans="1:4" x14ac:dyDescent="0.45">
      <c r="A2" s="12" t="s">
        <v>42</v>
      </c>
      <c r="C2" s="8"/>
    </row>
    <row r="3" spans="1:4" x14ac:dyDescent="0.45">
      <c r="A3" s="3" t="s">
        <v>41</v>
      </c>
      <c r="B3" s="3" t="s">
        <v>40</v>
      </c>
      <c r="C3" s="3">
        <v>1</v>
      </c>
    </row>
    <row r="4" spans="1:4" x14ac:dyDescent="0.45">
      <c r="A4" s="3" t="s">
        <v>5</v>
      </c>
      <c r="B4" s="3" t="s">
        <v>39</v>
      </c>
      <c r="C4" s="8">
        <v>10</v>
      </c>
    </row>
    <row r="5" spans="1:4" x14ac:dyDescent="0.45">
      <c r="A5" s="3" t="s">
        <v>38</v>
      </c>
      <c r="B5" s="3" t="s">
        <v>37</v>
      </c>
      <c r="C5" s="8">
        <v>1200</v>
      </c>
    </row>
    <row r="6" spans="1:4" x14ac:dyDescent="0.45">
      <c r="A6" s="2" t="s">
        <v>5</v>
      </c>
      <c r="B6" s="2" t="s">
        <v>36</v>
      </c>
      <c r="C6" s="2">
        <v>15</v>
      </c>
      <c r="D6" s="1" t="s">
        <v>35</v>
      </c>
    </row>
    <row r="7" spans="1:4" x14ac:dyDescent="0.45">
      <c r="A7" s="3" t="s">
        <v>32</v>
      </c>
      <c r="B7" s="3" t="s">
        <v>34</v>
      </c>
      <c r="C7" s="3">
        <v>0.6</v>
      </c>
    </row>
    <row r="8" spans="1:4" x14ac:dyDescent="0.45">
      <c r="A8" s="3" t="s">
        <v>32</v>
      </c>
      <c r="B8" s="3" t="s">
        <v>33</v>
      </c>
      <c r="C8" s="3">
        <v>0.8</v>
      </c>
    </row>
    <row r="9" spans="1:4" x14ac:dyDescent="0.45">
      <c r="A9" s="3" t="s">
        <v>32</v>
      </c>
      <c r="B9" s="3" t="s">
        <v>31</v>
      </c>
      <c r="C9" s="3">
        <v>0.7</v>
      </c>
    </row>
    <row r="10" spans="1:4" x14ac:dyDescent="0.45">
      <c r="A10" s="7" t="s">
        <v>3</v>
      </c>
      <c r="C10" s="3"/>
    </row>
    <row r="11" spans="1:4" x14ac:dyDescent="0.45">
      <c r="A11" s="2" t="s">
        <v>75</v>
      </c>
      <c r="B11" s="3" t="s">
        <v>232</v>
      </c>
      <c r="C11" s="2" t="s">
        <v>234</v>
      </c>
    </row>
    <row r="12" spans="1:4" x14ac:dyDescent="0.45">
      <c r="A12" s="3" t="s">
        <v>5</v>
      </c>
      <c r="B12" s="2" t="s">
        <v>233</v>
      </c>
      <c r="C12" s="2">
        <v>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FE101-85DA-43FE-8E48-67C82F033798}">
  <sheetPr codeName="Sheet2"/>
  <dimension ref="A1:C34"/>
  <sheetViews>
    <sheetView topLeftCell="A22" workbookViewId="0">
      <selection activeCell="C26" sqref="C26"/>
    </sheetView>
  </sheetViews>
  <sheetFormatPr defaultColWidth="8.69921875" defaultRowHeight="18" x14ac:dyDescent="0.45"/>
  <cols>
    <col min="1" max="1" width="13.8984375" style="2" customWidth="1"/>
    <col min="2" max="2" width="31.09765625" style="2" customWidth="1"/>
    <col min="3" max="3" width="26.19921875" style="2" customWidth="1"/>
    <col min="4" max="4" width="10.5" style="2" customWidth="1"/>
    <col min="5" max="16384" width="8.69921875" style="2"/>
  </cols>
  <sheetData>
    <row r="1" spans="1:3" x14ac:dyDescent="0.45">
      <c r="A1" s="3" t="s">
        <v>26</v>
      </c>
      <c r="B1" s="3" t="s">
        <v>25</v>
      </c>
      <c r="C1" s="3" t="s">
        <v>167</v>
      </c>
    </row>
    <row r="2" spans="1:3" x14ac:dyDescent="0.45">
      <c r="A2" s="3" t="s">
        <v>110</v>
      </c>
      <c r="B2" s="3" t="s">
        <v>156</v>
      </c>
      <c r="C2" s="3">
        <v>40</v>
      </c>
    </row>
    <row r="3" spans="1:3" x14ac:dyDescent="0.45">
      <c r="A3" s="3" t="s">
        <v>116</v>
      </c>
      <c r="B3" s="3" t="s">
        <v>157</v>
      </c>
      <c r="C3" s="3" t="s">
        <v>158</v>
      </c>
    </row>
    <row r="4" spans="1:3" x14ac:dyDescent="0.45">
      <c r="A4" s="3" t="s">
        <v>92</v>
      </c>
      <c r="B4" s="3" t="s">
        <v>159</v>
      </c>
      <c r="C4" s="3" t="s">
        <v>160</v>
      </c>
    </row>
    <row r="5" spans="1:3" x14ac:dyDescent="0.45">
      <c r="A5" s="3" t="s">
        <v>116</v>
      </c>
      <c r="B5" s="3" t="s">
        <v>161</v>
      </c>
      <c r="C5" s="3" t="s">
        <v>162</v>
      </c>
    </row>
    <row r="6" spans="1:3" x14ac:dyDescent="0.45">
      <c r="A6" s="2" t="s">
        <v>116</v>
      </c>
      <c r="B6" s="2" t="s">
        <v>163</v>
      </c>
      <c r="C6" s="2" t="s">
        <v>139</v>
      </c>
    </row>
    <row r="7" spans="1:3" x14ac:dyDescent="0.45">
      <c r="A7" s="2" t="s">
        <v>116</v>
      </c>
      <c r="B7" s="2" t="s">
        <v>164</v>
      </c>
      <c r="C7" s="2" t="s">
        <v>168</v>
      </c>
    </row>
    <row r="8" spans="1:3" x14ac:dyDescent="0.45">
      <c r="A8" s="4" t="s">
        <v>91</v>
      </c>
    </row>
    <row r="9" spans="1:3" x14ac:dyDescent="0.45">
      <c r="A9" s="2" t="s">
        <v>150</v>
      </c>
    </row>
    <row r="10" spans="1:3" x14ac:dyDescent="0.45">
      <c r="A10" s="2" t="s">
        <v>2</v>
      </c>
      <c r="B10" s="2" t="str">
        <f xml:space="preserve"> "ANIMA_PATH_" &amp; A9</f>
        <v>ANIMA_PATH_BAT_FLYING</v>
      </c>
      <c r="C10" s="2" t="s">
        <v>151</v>
      </c>
    </row>
    <row r="11" spans="1:3" x14ac:dyDescent="0.45">
      <c r="A11" s="2" t="s">
        <v>93</v>
      </c>
      <c r="B11" s="2" t="str">
        <f>"ANIMA_LOOP_" &amp; A9</f>
        <v>ANIMA_LOOP_BAT_FLYING</v>
      </c>
      <c r="C11" s="2" t="b">
        <v>1</v>
      </c>
    </row>
    <row r="12" spans="1:3" x14ac:dyDescent="0.45">
      <c r="A12" s="2" t="s">
        <v>41</v>
      </c>
      <c r="B12" s="2" t="str">
        <f>"ANIMA_SCALE_" &amp; A9</f>
        <v>ANIMA_SCALE_BAT_FLYING</v>
      </c>
      <c r="C12" s="2">
        <v>1</v>
      </c>
    </row>
    <row r="13" spans="1:3" x14ac:dyDescent="0.45">
      <c r="A13" s="2" t="s">
        <v>152</v>
      </c>
    </row>
    <row r="14" spans="1:3" x14ac:dyDescent="0.45">
      <c r="A14" s="2" t="s">
        <v>2</v>
      </c>
      <c r="B14" s="2" t="str">
        <f xml:space="preserve"> "ANIMA_PATH_" &amp; A13</f>
        <v>ANIMA_PATH_BAT_DEATH</v>
      </c>
      <c r="C14" s="2" t="s">
        <v>153</v>
      </c>
    </row>
    <row r="15" spans="1:3" x14ac:dyDescent="0.45">
      <c r="A15" s="2" t="s">
        <v>93</v>
      </c>
      <c r="B15" s="2" t="str">
        <f>"ANIMA_LOOP_" &amp; A13</f>
        <v>ANIMA_LOOP_BAT_DEATH</v>
      </c>
      <c r="C15" s="2" t="b">
        <v>0</v>
      </c>
    </row>
    <row r="16" spans="1:3" x14ac:dyDescent="0.45">
      <c r="A16" s="2" t="s">
        <v>41</v>
      </c>
      <c r="B16" s="2" t="str">
        <f>"ANIMA_SCALE_" &amp; A13</f>
        <v>ANIMA_SCALE_BAT_DEATH</v>
      </c>
      <c r="C16" s="2">
        <v>1</v>
      </c>
    </row>
    <row r="17" spans="1:3" x14ac:dyDescent="0.45">
      <c r="A17" s="2" t="s">
        <v>154</v>
      </c>
    </row>
    <row r="18" spans="1:3" x14ac:dyDescent="0.45">
      <c r="A18" s="2" t="s">
        <v>2</v>
      </c>
      <c r="B18" s="2" t="str">
        <f xml:space="preserve"> "ANIMA_PATH_" &amp; A17</f>
        <v>ANIMA_PATH_BAT_ATTACK</v>
      </c>
      <c r="C18" s="2" t="s">
        <v>155</v>
      </c>
    </row>
    <row r="19" spans="1:3" x14ac:dyDescent="0.45">
      <c r="A19" s="2" t="s">
        <v>93</v>
      </c>
      <c r="B19" s="2" t="str">
        <f>"ANIMA_LOOP_" &amp; A17</f>
        <v>ANIMA_LOOP_BAT_ATTACK</v>
      </c>
      <c r="C19" s="2" t="b">
        <v>0</v>
      </c>
    </row>
    <row r="20" spans="1:3" x14ac:dyDescent="0.45">
      <c r="A20" s="2" t="s">
        <v>41</v>
      </c>
      <c r="B20" s="2" t="str">
        <f>"ANIMA_SCALE_" &amp; A17</f>
        <v>ANIMA_SCALE_BAT_ATTACK</v>
      </c>
      <c r="C20" s="2">
        <v>0.7</v>
      </c>
    </row>
    <row r="21" spans="1:3" x14ac:dyDescent="0.45">
      <c r="A21" s="7" t="s">
        <v>17</v>
      </c>
    </row>
    <row r="22" spans="1:3" x14ac:dyDescent="0.45">
      <c r="A22" s="3" t="s">
        <v>5</v>
      </c>
      <c r="B22" s="3" t="s">
        <v>85</v>
      </c>
      <c r="C22" s="3">
        <v>50</v>
      </c>
    </row>
    <row r="23" spans="1:3" x14ac:dyDescent="0.45">
      <c r="A23" s="20" t="s">
        <v>84</v>
      </c>
    </row>
    <row r="24" spans="1:3" x14ac:dyDescent="0.45">
      <c r="A24" s="2" t="s">
        <v>82</v>
      </c>
      <c r="B24" s="2" t="s">
        <v>86</v>
      </c>
      <c r="C24" s="2">
        <v>1.5</v>
      </c>
    </row>
    <row r="25" spans="1:3" x14ac:dyDescent="0.45">
      <c r="A25" s="2" t="s">
        <v>82</v>
      </c>
      <c r="B25" s="2" t="s">
        <v>87</v>
      </c>
      <c r="C25" s="2">
        <v>5</v>
      </c>
    </row>
    <row r="26" spans="1:3" x14ac:dyDescent="0.45">
      <c r="A26" s="2" t="s">
        <v>82</v>
      </c>
      <c r="B26" s="2" t="s">
        <v>88</v>
      </c>
      <c r="C26" s="2">
        <v>1.5</v>
      </c>
    </row>
    <row r="27" spans="1:3" x14ac:dyDescent="0.45">
      <c r="A27" s="2" t="s">
        <v>14</v>
      </c>
      <c r="B27" s="2" t="s">
        <v>89</v>
      </c>
      <c r="C27" s="2">
        <v>-30</v>
      </c>
    </row>
    <row r="28" spans="1:3" x14ac:dyDescent="0.45">
      <c r="A28" s="2" t="s">
        <v>14</v>
      </c>
      <c r="B28" s="2" t="s">
        <v>90</v>
      </c>
      <c r="C28" s="2">
        <v>0</v>
      </c>
    </row>
    <row r="29" spans="1:3" x14ac:dyDescent="0.45">
      <c r="A29" s="2" t="s">
        <v>5</v>
      </c>
      <c r="B29" s="2" t="s">
        <v>169</v>
      </c>
      <c r="C29" s="2">
        <v>500</v>
      </c>
    </row>
    <row r="30" spans="1:3" x14ac:dyDescent="0.45">
      <c r="A30" s="5" t="s">
        <v>3</v>
      </c>
    </row>
    <row r="31" spans="1:3" x14ac:dyDescent="0.45">
      <c r="A31" s="2" t="s">
        <v>75</v>
      </c>
      <c r="B31" s="2" t="s">
        <v>201</v>
      </c>
      <c r="C31" s="2" t="s">
        <v>203</v>
      </c>
    </row>
    <row r="32" spans="1:3" x14ac:dyDescent="0.45">
      <c r="A32" s="2" t="s">
        <v>5</v>
      </c>
      <c r="B32" s="2" t="s">
        <v>213</v>
      </c>
      <c r="C32" s="2">
        <v>0.4</v>
      </c>
    </row>
    <row r="33" spans="1:3" x14ac:dyDescent="0.45">
      <c r="A33" s="2" t="s">
        <v>75</v>
      </c>
      <c r="B33" s="2" t="s">
        <v>202</v>
      </c>
      <c r="C33" s="2" t="s">
        <v>204</v>
      </c>
    </row>
    <row r="34" spans="1:3" x14ac:dyDescent="0.45">
      <c r="A34" s="2" t="s">
        <v>5</v>
      </c>
      <c r="B34" s="2" t="s">
        <v>214</v>
      </c>
      <c r="C34" s="2">
        <v>0.4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75026-D89D-44FB-9170-454B7D69731C}">
  <dimension ref="A1:C17"/>
  <sheetViews>
    <sheetView workbookViewId="0">
      <selection activeCell="C18" sqref="C18"/>
    </sheetView>
  </sheetViews>
  <sheetFormatPr defaultRowHeight="18" x14ac:dyDescent="0.45"/>
  <cols>
    <col min="1" max="1" width="14" customWidth="1"/>
    <col min="2" max="2" width="20.19921875" customWidth="1"/>
    <col min="3" max="3" width="16.8984375" customWidth="1"/>
  </cols>
  <sheetData>
    <row r="1" spans="1:3" s="2" customFormat="1" x14ac:dyDescent="0.45">
      <c r="A1" s="3" t="s">
        <v>26</v>
      </c>
      <c r="B1" s="3" t="s">
        <v>25</v>
      </c>
      <c r="C1" s="3" t="s">
        <v>205</v>
      </c>
    </row>
    <row r="2" spans="1:3" s="1" customFormat="1" x14ac:dyDescent="0.45">
      <c r="A2" s="9" t="s">
        <v>172</v>
      </c>
      <c r="B2" s="2"/>
      <c r="C2" s="2"/>
    </row>
    <row r="3" spans="1:3" s="1" customFormat="1" x14ac:dyDescent="0.45">
      <c r="A3" s="2" t="s">
        <v>2</v>
      </c>
      <c r="B3" s="2" t="s">
        <v>215</v>
      </c>
      <c r="C3" s="2" t="s">
        <v>208</v>
      </c>
    </row>
    <row r="4" spans="1:3" s="24" customFormat="1" x14ac:dyDescent="0.45">
      <c r="A4" s="7" t="s">
        <v>223</v>
      </c>
      <c r="B4" s="7"/>
      <c r="C4" s="7"/>
    </row>
    <row r="5" spans="1:3" s="1" customFormat="1" x14ac:dyDescent="0.45">
      <c r="A5" s="2" t="s">
        <v>225</v>
      </c>
      <c r="B5" s="2"/>
      <c r="C5" s="2">
        <v>0</v>
      </c>
    </row>
    <row r="6" spans="1:3" s="1" customFormat="1" x14ac:dyDescent="0.45">
      <c r="A6" s="2" t="s">
        <v>226</v>
      </c>
      <c r="B6" s="2"/>
      <c r="C6" s="2">
        <v>20</v>
      </c>
    </row>
    <row r="7" spans="1:3" s="1" customFormat="1" x14ac:dyDescent="0.45">
      <c r="A7" s="2" t="s">
        <v>227</v>
      </c>
      <c r="B7" s="2"/>
      <c r="C7" s="2">
        <v>0</v>
      </c>
    </row>
    <row r="8" spans="1:3" s="1" customFormat="1" x14ac:dyDescent="0.45">
      <c r="A8" s="2" t="s">
        <v>11</v>
      </c>
      <c r="B8" s="2" t="s">
        <v>224</v>
      </c>
      <c r="C8" s="2" t="str">
        <f>C5 &amp; " " &amp;C6 &amp; " " &amp;C7</f>
        <v>0 20 0</v>
      </c>
    </row>
    <row r="9" spans="1:3" s="1" customFormat="1" x14ac:dyDescent="0.45">
      <c r="A9" s="2" t="s">
        <v>228</v>
      </c>
      <c r="B9" s="2"/>
      <c r="C9" s="2">
        <v>40</v>
      </c>
    </row>
    <row r="10" spans="1:3" s="1" customFormat="1" x14ac:dyDescent="0.45">
      <c r="A10" s="2" t="s">
        <v>229</v>
      </c>
      <c r="B10" s="2"/>
      <c r="C10" s="2">
        <v>40</v>
      </c>
    </row>
    <row r="11" spans="1:3" s="1" customFormat="1" x14ac:dyDescent="0.45">
      <c r="A11" s="2" t="s">
        <v>230</v>
      </c>
      <c r="B11" s="2"/>
      <c r="C11" s="2">
        <v>40</v>
      </c>
    </row>
    <row r="12" spans="1:3" s="1" customFormat="1" x14ac:dyDescent="0.45">
      <c r="A12" s="2" t="s">
        <v>11</v>
      </c>
      <c r="B12" s="2" t="s">
        <v>231</v>
      </c>
      <c r="C12" s="2" t="str">
        <f>C9 &amp; " " &amp;C10 &amp; " " &amp;C11</f>
        <v>40 40 40</v>
      </c>
    </row>
    <row r="13" spans="1:3" s="2" customFormat="1" x14ac:dyDescent="0.45">
      <c r="A13" s="5" t="s">
        <v>3</v>
      </c>
    </row>
    <row r="14" spans="1:3" s="2" customFormat="1" x14ac:dyDescent="0.45">
      <c r="A14" s="2" t="s">
        <v>75</v>
      </c>
      <c r="B14" s="2" t="s">
        <v>206</v>
      </c>
      <c r="C14" s="2" t="s">
        <v>207</v>
      </c>
    </row>
    <row r="15" spans="1:3" x14ac:dyDescent="0.45">
      <c r="A15" t="s">
        <v>5</v>
      </c>
      <c r="B15" s="2" t="s">
        <v>216</v>
      </c>
      <c r="C15">
        <v>0.3</v>
      </c>
    </row>
    <row r="16" spans="1:3" x14ac:dyDescent="0.45">
      <c r="A16" t="s">
        <v>75</v>
      </c>
      <c r="B16" s="2" t="s">
        <v>217</v>
      </c>
      <c r="C16" s="2" t="s">
        <v>221</v>
      </c>
    </row>
    <row r="17" spans="1:3" x14ac:dyDescent="0.45">
      <c r="A17" t="s">
        <v>5</v>
      </c>
      <c r="B17" s="2" t="s">
        <v>218</v>
      </c>
      <c r="C17">
        <v>0.5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3530E-6AEB-403C-906A-2223BED60B5D}">
  <sheetPr codeName="Sheet5"/>
  <dimension ref="A1:C9"/>
  <sheetViews>
    <sheetView workbookViewId="0">
      <selection activeCell="F13" sqref="F13"/>
    </sheetView>
  </sheetViews>
  <sheetFormatPr defaultRowHeight="18" x14ac:dyDescent="0.45"/>
  <cols>
    <col min="1" max="1" width="13.296875" customWidth="1"/>
  </cols>
  <sheetData>
    <row r="1" spans="1:3" x14ac:dyDescent="0.45">
      <c r="A1" t="s">
        <v>44</v>
      </c>
      <c r="B1" t="s">
        <v>45</v>
      </c>
      <c r="C1" t="s">
        <v>46</v>
      </c>
    </row>
    <row r="2" spans="1:3" x14ac:dyDescent="0.45">
      <c r="A2" s="13">
        <v>46310</v>
      </c>
      <c r="B2" t="s">
        <v>24</v>
      </c>
      <c r="C2" t="s">
        <v>47</v>
      </c>
    </row>
    <row r="3" spans="1:3" x14ac:dyDescent="0.45">
      <c r="A3" s="13">
        <v>46310</v>
      </c>
      <c r="B3" t="s">
        <v>43</v>
      </c>
      <c r="C3" t="s">
        <v>48</v>
      </c>
    </row>
    <row r="4" spans="1:3" x14ac:dyDescent="0.45">
      <c r="A4" s="13">
        <v>46237</v>
      </c>
      <c r="B4" t="s">
        <v>49</v>
      </c>
      <c r="C4" t="s">
        <v>50</v>
      </c>
    </row>
    <row r="5" spans="1:3" x14ac:dyDescent="0.45">
      <c r="A5" s="13">
        <v>46237</v>
      </c>
      <c r="B5" t="s">
        <v>51</v>
      </c>
      <c r="C5" t="s">
        <v>52</v>
      </c>
    </row>
    <row r="6" spans="1:3" x14ac:dyDescent="0.45">
      <c r="A6" s="13">
        <v>46310</v>
      </c>
      <c r="B6" t="s">
        <v>165</v>
      </c>
      <c r="C6" t="s">
        <v>166</v>
      </c>
    </row>
    <row r="7" spans="1:3" x14ac:dyDescent="0.45">
      <c r="A7" s="13">
        <v>46310</v>
      </c>
      <c r="B7" t="s">
        <v>189</v>
      </c>
      <c r="C7" t="s">
        <v>190</v>
      </c>
    </row>
    <row r="8" spans="1:3" x14ac:dyDescent="0.45">
      <c r="A8" s="13">
        <v>46310</v>
      </c>
      <c r="B8" t="s">
        <v>219</v>
      </c>
      <c r="C8" t="s">
        <v>220</v>
      </c>
    </row>
    <row r="9" spans="1:3" x14ac:dyDescent="0.45">
      <c r="A9" s="13">
        <v>46310</v>
      </c>
      <c r="B9" t="s">
        <v>205</v>
      </c>
      <c r="C9" t="s">
        <v>222</v>
      </c>
    </row>
  </sheetData>
  <sheetProtection sheet="1" objects="1" scenarios="1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使い方</vt:lpstr>
      <vt:lpstr>Player</vt:lpstr>
      <vt:lpstr>PlayersObj</vt:lpstr>
      <vt:lpstr>PlayerHelper</vt:lpstr>
      <vt:lpstr>Ball</vt:lpstr>
      <vt:lpstr>Bat</vt:lpstr>
      <vt:lpstr>ClearItem</vt:lpstr>
      <vt:lpstr>ExportLog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土橋 和牧(kss-24120275)</dc:creator>
  <cp:lastModifiedBy>土橋 和牧(kss-24120275)</cp:lastModifiedBy>
  <dcterms:created xsi:type="dcterms:W3CDTF">2026-08-09T06:58:53Z</dcterms:created>
  <dcterms:modified xsi:type="dcterms:W3CDTF">2026-10-15T08:20:17Z</dcterms:modified>
</cp:coreProperties>
</file>